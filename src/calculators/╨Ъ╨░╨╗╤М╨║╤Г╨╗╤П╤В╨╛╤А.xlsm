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showInkAnnotation="0" codeName="ЭтаКнига"/>
  <mc:AlternateContent xmlns:mc="http://schemas.openxmlformats.org/markup-compatibility/2006">
    <mc:Choice Requires="x15">
      <x15ac:absPath xmlns:x15ac="http://schemas.microsoft.com/office/spreadsheetml/2010/11/ac" url="C:\Users\shapeless\Desktop\miniapp\src\calculators\"/>
    </mc:Choice>
  </mc:AlternateContent>
  <xr:revisionPtr revIDLastSave="0" documentId="13_ncr:1_{0FD032BC-520E-49BB-B8BF-DDF184F49AEE}" xr6:coauthVersionLast="47" xr6:coauthVersionMax="47" xr10:uidLastSave="{00000000-0000-0000-0000-000000000000}"/>
  <bookViews>
    <workbookView xWindow="-120" yWindow="-120" windowWidth="38640" windowHeight="21120" tabRatio="840" activeTab="4" xr2:uid="{00000000-000D-0000-FFFF-FFFF00000000}"/>
  </bookViews>
  <sheets>
    <sheet name="Инструкция" sheetId="18" r:id="rId1"/>
    <sheet name="Подбор суммы" sheetId="37" r:id="rId2"/>
    <sheet name="Подбор_Тарифы" sheetId="38" state="veryHidden" r:id="rId3"/>
    <sheet name="Расчет программы" sheetId="14" r:id="rId4"/>
    <sheet name="Предложение для клиента" sheetId="17" r:id="rId5"/>
    <sheet name="#Регионы доп" sheetId="39" state="veryHidden" r:id="rId6"/>
    <sheet name="#Настройки" sheetId="15" state="veryHidden" r:id="rId7"/>
    <sheet name="Расчет" sheetId="28" state="veryHidden" r:id="rId8"/>
    <sheet name="Настройки" sheetId="29" state="veryHidden" r:id="rId9"/>
    <sheet name="Тарифы СБСЖ" sheetId="30" state="veryHidden" r:id="rId10"/>
    <sheet name="Тбл_Dth" sheetId="31" state="veryHidden" r:id="rId11"/>
    <sheet name="Тбл_Dis" sheetId="32" state="veryHidden" r:id="rId12"/>
    <sheet name="Тбл_Dth_Dis" sheetId="33" state="veryHidden" r:id="rId13"/>
    <sheet name="Лист1" sheetId="34" state="veryHidden" r:id="rId14"/>
    <sheet name="Лист2" sheetId="35" state="veryHidden" r:id="rId15"/>
    <sheet name="ЦБ" sheetId="36" state="veryHidden" r:id="rId16"/>
  </sheets>
  <functionGroups builtInGroupCount="19"/>
  <definedNames>
    <definedName name="_AMO_XmlVersion" hidden="1">"'1'"</definedName>
    <definedName name="_Order1" hidden="1">255</definedName>
    <definedName name="_Order2" hidden="1">255</definedName>
    <definedName name="gender">Расчет!$D$6</definedName>
    <definedName name="ii">Расчет!$D$16</definedName>
    <definedName name="kk">Расчет!$D$19</definedName>
    <definedName name="nn">Расчет!$D$18</definedName>
    <definedName name="NTr_Acc_D">Настройки!$M$4</definedName>
    <definedName name="NTr_Acc_DTrf">Настройки!$M$5</definedName>
    <definedName name="NTr_Acc_Trauma">Настройки!$M$6</definedName>
    <definedName name="old_old_sber_ann_m">"AdultReliableCapital_Affluent"</definedName>
    <definedName name="old_str_prog_TariffType_Adult_ReliableCapital_mass">"AdultReliableCapital_Mass"</definedName>
    <definedName name="sber_ann_f">'Тарифы СБСЖ'!$AD$6:$BD$58</definedName>
    <definedName name="sber_ann_m">'Тарифы СБСЖ'!$B$6:$AB$117</definedName>
    <definedName name="tbl_Comm">Настройки!$B$4:$G$33</definedName>
    <definedName name="tbl_D_Dis_f">Тбл_Dth_Dis!$R$8:$AB$109</definedName>
    <definedName name="tbl_D_Dis_m">Тбл_Dth_Dis!$F$8:$P$109</definedName>
    <definedName name="tbl_D_f">Тбл_Dth!$R$8:$AB$109</definedName>
    <definedName name="tbl_D_m">Тбл_Dth!$F$8:$P$109</definedName>
    <definedName name="tbl_Dis_f">Тбл_Dis!$R$8:$AB$109</definedName>
    <definedName name="tbl_Dis_m">Тбл_Dis!$F$8:$P$109</definedName>
    <definedName name="tbl_freq_k">Настройки!$I$10:$J$13</definedName>
    <definedName name="xx">Расчет!$D$8</definedName>
    <definedName name="КЛ_ГОРОД">'Расчет программы'!$K$12</definedName>
    <definedName name="КЛ_ДАТА">'Расчет программы'!$K$7</definedName>
    <definedName name="КЛ_ДР_З">'Расчет программы'!$K$17</definedName>
    <definedName name="КЛ_КЗ">'Расчет программы'!$K$30:$K$31</definedName>
    <definedName name="КЛ_ПОЛ">'Расчет программы'!$K$16</definedName>
    <definedName name="КЛ_СРОК">'Расчет программы'!$K$10</definedName>
    <definedName name="КЛ_СТРОКИ_СТРАХОВАТЕЛЬ">'Расчет программы'!$21:$25</definedName>
    <definedName name="КЛ_СУММА">'Расчет программы'!$K$11</definedName>
    <definedName name="КЛ_ФИО">'Расчет программы'!$K$15</definedName>
    <definedName name="КЛ_ФЛАГ_ДОП_ЛС">'Расчет программы'!$K$34</definedName>
    <definedName name="КЛ_ФЛАГ_СТРАХОВАТЕЛЬ">'Расчет программы'!$K$20</definedName>
    <definedName name="Н_Было">'#Настройки'!$K$4</definedName>
    <definedName name="Н_Версия">'#Настройки'!$C$3</definedName>
    <definedName name="Н_ДАННЫЕ_ИЗМЕНИЛИСЬ">'#Настройки'!$K$6</definedName>
    <definedName name="Н_Дата">'#Настройки'!$C$4</definedName>
    <definedName name="Н_ДатаОкончания">'#Настройки'!$C$9</definedName>
    <definedName name="Н_Ошибок">'#Настройки'!$C$10</definedName>
    <definedName name="Н_СТАЛО">'#Настройки'!$K$5</definedName>
    <definedName name="Н_Статус">'#Настройки'!$C$8</definedName>
    <definedName name="Н_СТОП_ФАКТОРЫ">'#Настройки'!$G$12</definedName>
    <definedName name="П_ДОП">'Предложение для клиента'!$32:$33</definedName>
    <definedName name="П_ДОП_ЛС_ЗНАЧ">'Предложение для клиента'!$F$33</definedName>
    <definedName name="П_ИНВ_ЛП">'Предложение для клиента'!$21:$21</definedName>
    <definedName name="П_ИНВ_ЛП_ЗНАЧ">'Предложение для клиента'!$F$21</definedName>
    <definedName name="П_МЕД_ЧЕКАП">'Предложение для клиента'!$35:$38</definedName>
    <definedName name="П_МЕД_ЧЕКАП_ЗНАЧ">'Предложение для клиента'!$C$37</definedName>
    <definedName name="П_ПАКЕТ_ЗАГОЛОВОК">'Предложение для клиента'!$22:$25</definedName>
    <definedName name="П_ПАКЕТ_КРИТИКА">'Предложение для клиента'!$30:$31</definedName>
    <definedName name="П_ПАКЕТ_КРИТИКА_ЗНАЧ">'Предложение для клиента'!$F$31</definedName>
    <definedName name="П_ПАКЕТ_НС">'Предложение для клиента'!$26:$29</definedName>
    <definedName name="П_ПАКЕТ_НС_ЗНАЧ">'Предложение для клиента'!$F$27</definedName>
    <definedName name="П_СРОК">'Подбор суммы'!$C$18</definedName>
    <definedName name="П_СУММА">'Подбор суммы'!$C$17</definedName>
    <definedName name="ПР_ДАТА_РАСЧЁТА">'Предложение для клиента'!$D$13</definedName>
    <definedName name="Регионы_Город">'#Регионы доп'!$B$2</definedName>
    <definedName name="Регионы_ЛПУ">'#Регионы доп'!$E$2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3" i="28" l="1"/>
  <c r="D18" i="28"/>
  <c r="B37" i="17" l="1"/>
  <c r="E31" i="17" l="1"/>
  <c r="D44" i="28" l="1"/>
  <c r="K17" i="29" l="1"/>
  <c r="L17" i="29" s="1"/>
  <c r="M17" i="29" s="1"/>
  <c r="N17" i="29" s="1"/>
  <c r="O17" i="29" s="1"/>
  <c r="K16" i="29"/>
  <c r="M23" i="14"/>
  <c r="M17" i="14"/>
  <c r="M16" i="14"/>
  <c r="M15" i="14"/>
  <c r="M10" i="14"/>
  <c r="C9" i="37"/>
  <c r="F5" i="37"/>
  <c r="K18" i="14"/>
  <c r="C21" i="38"/>
  <c r="C22" i="38" s="1"/>
  <c r="C23" i="38" s="1"/>
  <c r="C24" i="38" s="1"/>
  <c r="F13" i="37" s="1"/>
  <c r="C29" i="38"/>
  <c r="C30" i="38" s="1"/>
  <c r="F4" i="37"/>
  <c r="F14" i="37"/>
  <c r="D18" i="37"/>
  <c r="C18" i="37" s="1"/>
  <c r="B31" i="17"/>
  <c r="K5" i="15"/>
  <c r="K6" i="15" s="1"/>
  <c r="D34" i="28"/>
  <c r="I8" i="33"/>
  <c r="J8" i="33" s="1"/>
  <c r="U8" i="33"/>
  <c r="T8" i="33" s="1"/>
  <c r="S9" i="33" s="1"/>
  <c r="I9" i="33"/>
  <c r="J9" i="33" s="1"/>
  <c r="U9" i="33"/>
  <c r="V9" i="33" s="1"/>
  <c r="I10" i="33"/>
  <c r="J10" i="33" s="1"/>
  <c r="U10" i="33"/>
  <c r="V10" i="33" s="1"/>
  <c r="I11" i="33"/>
  <c r="J11" i="33" s="1"/>
  <c r="U11" i="33"/>
  <c r="V11" i="33" s="1"/>
  <c r="I12" i="33"/>
  <c r="J12" i="33" s="1"/>
  <c r="U12" i="33"/>
  <c r="V12" i="33" s="1"/>
  <c r="I13" i="33"/>
  <c r="J13" i="33" s="1"/>
  <c r="U13" i="33"/>
  <c r="V13" i="33" s="1"/>
  <c r="I14" i="33"/>
  <c r="J14" i="33" s="1"/>
  <c r="U14" i="33"/>
  <c r="V14" i="33" s="1"/>
  <c r="I15" i="33"/>
  <c r="J15" i="33" s="1"/>
  <c r="U15" i="33"/>
  <c r="V15" i="33" s="1"/>
  <c r="I16" i="33"/>
  <c r="J16" i="33" s="1"/>
  <c r="U16" i="33"/>
  <c r="V16" i="33" s="1"/>
  <c r="I17" i="33"/>
  <c r="J17" i="33" s="1"/>
  <c r="U17" i="33"/>
  <c r="V17" i="33" s="1"/>
  <c r="I18" i="33"/>
  <c r="J18" i="33" s="1"/>
  <c r="U18" i="33"/>
  <c r="V18" i="33" s="1"/>
  <c r="I19" i="33"/>
  <c r="J19" i="33" s="1"/>
  <c r="U19" i="33"/>
  <c r="V19" i="33" s="1"/>
  <c r="I20" i="33"/>
  <c r="J20" i="33" s="1"/>
  <c r="U20" i="33"/>
  <c r="V20" i="33" s="1"/>
  <c r="I21" i="33"/>
  <c r="J21" i="33" s="1"/>
  <c r="U21" i="33"/>
  <c r="V21" i="33" s="1"/>
  <c r="I22" i="33"/>
  <c r="J22" i="33" s="1"/>
  <c r="U22" i="33"/>
  <c r="V22" i="33" s="1"/>
  <c r="I23" i="33"/>
  <c r="J23" i="33" s="1"/>
  <c r="U23" i="33"/>
  <c r="V23" i="33" s="1"/>
  <c r="I24" i="33"/>
  <c r="J24" i="33" s="1"/>
  <c r="U24" i="33"/>
  <c r="V24" i="33" s="1"/>
  <c r="I25" i="33"/>
  <c r="J25" i="33" s="1"/>
  <c r="U25" i="33"/>
  <c r="V25" i="33" s="1"/>
  <c r="C26" i="33"/>
  <c r="I26" i="33" s="1"/>
  <c r="J26" i="33" s="1"/>
  <c r="D26" i="33"/>
  <c r="U26" i="33" s="1"/>
  <c r="V26" i="33" s="1"/>
  <c r="C27" i="33"/>
  <c r="I27" i="33" s="1"/>
  <c r="J27" i="33" s="1"/>
  <c r="D27" i="33"/>
  <c r="U27" i="33" s="1"/>
  <c r="V27" i="33" s="1"/>
  <c r="C28" i="33"/>
  <c r="I28" i="33" s="1"/>
  <c r="J28" i="33" s="1"/>
  <c r="D28" i="33"/>
  <c r="U28" i="33" s="1"/>
  <c r="V28" i="33" s="1"/>
  <c r="C29" i="33"/>
  <c r="I29" i="33" s="1"/>
  <c r="J29" i="33" s="1"/>
  <c r="D29" i="33"/>
  <c r="U29" i="33" s="1"/>
  <c r="V29" i="33" s="1"/>
  <c r="C30" i="33"/>
  <c r="I30" i="33" s="1"/>
  <c r="J30" i="33" s="1"/>
  <c r="D30" i="33"/>
  <c r="U30" i="33" s="1"/>
  <c r="V30" i="33" s="1"/>
  <c r="C31" i="33"/>
  <c r="I31" i="33" s="1"/>
  <c r="J31" i="33" s="1"/>
  <c r="D31" i="33"/>
  <c r="U31" i="33" s="1"/>
  <c r="V31" i="33" s="1"/>
  <c r="C32" i="33"/>
  <c r="I32" i="33" s="1"/>
  <c r="J32" i="33" s="1"/>
  <c r="D32" i="33"/>
  <c r="U32" i="33" s="1"/>
  <c r="V32" i="33" s="1"/>
  <c r="C33" i="33"/>
  <c r="I33" i="33" s="1"/>
  <c r="J33" i="33" s="1"/>
  <c r="D33" i="33"/>
  <c r="U33" i="33" s="1"/>
  <c r="V33" i="33" s="1"/>
  <c r="C34" i="33"/>
  <c r="I34" i="33" s="1"/>
  <c r="J34" i="33" s="1"/>
  <c r="D34" i="33"/>
  <c r="U34" i="33" s="1"/>
  <c r="V34" i="33" s="1"/>
  <c r="C35" i="33"/>
  <c r="I35" i="33" s="1"/>
  <c r="J35" i="33" s="1"/>
  <c r="D35" i="33"/>
  <c r="U35" i="33" s="1"/>
  <c r="V35" i="33" s="1"/>
  <c r="C36" i="33"/>
  <c r="I36" i="33" s="1"/>
  <c r="J36" i="33" s="1"/>
  <c r="D36" i="33"/>
  <c r="U36" i="33" s="1"/>
  <c r="V36" i="33" s="1"/>
  <c r="C37" i="33"/>
  <c r="I37" i="33" s="1"/>
  <c r="J37" i="33" s="1"/>
  <c r="D37" i="33"/>
  <c r="U37" i="33" s="1"/>
  <c r="V37" i="33" s="1"/>
  <c r="C38" i="33"/>
  <c r="I38" i="33" s="1"/>
  <c r="J38" i="33" s="1"/>
  <c r="D38" i="33"/>
  <c r="U38" i="33" s="1"/>
  <c r="V38" i="33" s="1"/>
  <c r="C39" i="33"/>
  <c r="I39" i="33" s="1"/>
  <c r="J39" i="33" s="1"/>
  <c r="D39" i="33"/>
  <c r="U39" i="33" s="1"/>
  <c r="V39" i="33" s="1"/>
  <c r="C40" i="33"/>
  <c r="I40" i="33" s="1"/>
  <c r="J40" i="33" s="1"/>
  <c r="D40" i="33"/>
  <c r="U40" i="33" s="1"/>
  <c r="V40" i="33" s="1"/>
  <c r="C41" i="33"/>
  <c r="I41" i="33" s="1"/>
  <c r="J41" i="33" s="1"/>
  <c r="D41" i="33"/>
  <c r="U41" i="33" s="1"/>
  <c r="V41" i="33" s="1"/>
  <c r="C42" i="33"/>
  <c r="I42" i="33" s="1"/>
  <c r="J42" i="33" s="1"/>
  <c r="D42" i="33"/>
  <c r="U42" i="33" s="1"/>
  <c r="V42" i="33" s="1"/>
  <c r="C43" i="33"/>
  <c r="I43" i="33" s="1"/>
  <c r="J43" i="33" s="1"/>
  <c r="D43" i="33"/>
  <c r="U43" i="33" s="1"/>
  <c r="V43" i="33" s="1"/>
  <c r="C44" i="33"/>
  <c r="I44" i="33" s="1"/>
  <c r="J44" i="33" s="1"/>
  <c r="D44" i="33"/>
  <c r="U44" i="33" s="1"/>
  <c r="V44" i="33" s="1"/>
  <c r="C45" i="33"/>
  <c r="I45" i="33" s="1"/>
  <c r="J45" i="33" s="1"/>
  <c r="D45" i="33"/>
  <c r="U45" i="33" s="1"/>
  <c r="V45" i="33" s="1"/>
  <c r="C46" i="33"/>
  <c r="I46" i="33" s="1"/>
  <c r="J46" i="33" s="1"/>
  <c r="D46" i="33"/>
  <c r="U46" i="33" s="1"/>
  <c r="V46" i="33" s="1"/>
  <c r="C47" i="33"/>
  <c r="I47" i="33" s="1"/>
  <c r="J47" i="33" s="1"/>
  <c r="D47" i="33"/>
  <c r="U47" i="33" s="1"/>
  <c r="V47" i="33" s="1"/>
  <c r="C48" i="33"/>
  <c r="I48" i="33" s="1"/>
  <c r="J48" i="33" s="1"/>
  <c r="D48" i="33"/>
  <c r="U48" i="33" s="1"/>
  <c r="V48" i="33" s="1"/>
  <c r="C49" i="33"/>
  <c r="I49" i="33" s="1"/>
  <c r="J49" i="33" s="1"/>
  <c r="D49" i="33"/>
  <c r="U49" i="33" s="1"/>
  <c r="V49" i="33" s="1"/>
  <c r="C50" i="33"/>
  <c r="I50" i="33" s="1"/>
  <c r="J50" i="33" s="1"/>
  <c r="D50" i="33"/>
  <c r="U50" i="33" s="1"/>
  <c r="V50" i="33" s="1"/>
  <c r="C51" i="33"/>
  <c r="I51" i="33" s="1"/>
  <c r="J51" i="33" s="1"/>
  <c r="D51" i="33"/>
  <c r="U51" i="33" s="1"/>
  <c r="V51" i="33" s="1"/>
  <c r="C52" i="33"/>
  <c r="I52" i="33" s="1"/>
  <c r="J52" i="33" s="1"/>
  <c r="D52" i="33"/>
  <c r="U52" i="33" s="1"/>
  <c r="V52" i="33" s="1"/>
  <c r="C53" i="33"/>
  <c r="I53" i="33" s="1"/>
  <c r="J53" i="33" s="1"/>
  <c r="D53" i="33"/>
  <c r="U53" i="33" s="1"/>
  <c r="V53" i="33" s="1"/>
  <c r="C54" i="33"/>
  <c r="I54" i="33" s="1"/>
  <c r="J54" i="33" s="1"/>
  <c r="D54" i="33"/>
  <c r="U54" i="33" s="1"/>
  <c r="V54" i="33" s="1"/>
  <c r="C55" i="33"/>
  <c r="I55" i="33" s="1"/>
  <c r="J55" i="33" s="1"/>
  <c r="D55" i="33"/>
  <c r="U55" i="33" s="1"/>
  <c r="V55" i="33" s="1"/>
  <c r="C56" i="33"/>
  <c r="I56" i="33" s="1"/>
  <c r="J56" i="33" s="1"/>
  <c r="D56" i="33"/>
  <c r="U56" i="33" s="1"/>
  <c r="V56" i="33" s="1"/>
  <c r="C57" i="33"/>
  <c r="I57" i="33" s="1"/>
  <c r="J57" i="33" s="1"/>
  <c r="D57" i="33"/>
  <c r="U57" i="33" s="1"/>
  <c r="V57" i="33" s="1"/>
  <c r="C58" i="33"/>
  <c r="I58" i="33" s="1"/>
  <c r="J58" i="33" s="1"/>
  <c r="D58" i="33"/>
  <c r="U58" i="33" s="1"/>
  <c r="V58" i="33" s="1"/>
  <c r="C59" i="33"/>
  <c r="I59" i="33" s="1"/>
  <c r="J59" i="33" s="1"/>
  <c r="D59" i="33"/>
  <c r="U59" i="33" s="1"/>
  <c r="V59" i="33" s="1"/>
  <c r="C60" i="33"/>
  <c r="I60" i="33" s="1"/>
  <c r="J60" i="33" s="1"/>
  <c r="D60" i="33"/>
  <c r="U60" i="33" s="1"/>
  <c r="V60" i="33" s="1"/>
  <c r="C61" i="33"/>
  <c r="I61" i="33" s="1"/>
  <c r="J61" i="33" s="1"/>
  <c r="D61" i="33"/>
  <c r="U61" i="33" s="1"/>
  <c r="V61" i="33" s="1"/>
  <c r="C62" i="33"/>
  <c r="I62" i="33" s="1"/>
  <c r="J62" i="33" s="1"/>
  <c r="D62" i="33"/>
  <c r="U62" i="33" s="1"/>
  <c r="V62" i="33" s="1"/>
  <c r="C63" i="33"/>
  <c r="I63" i="33" s="1"/>
  <c r="J63" i="33" s="1"/>
  <c r="D63" i="33"/>
  <c r="U63" i="33" s="1"/>
  <c r="V63" i="33" s="1"/>
  <c r="C64" i="33"/>
  <c r="I64" i="33" s="1"/>
  <c r="J64" i="33" s="1"/>
  <c r="D64" i="33"/>
  <c r="U64" i="33" s="1"/>
  <c r="V64" i="33" s="1"/>
  <c r="C65" i="33"/>
  <c r="I65" i="33" s="1"/>
  <c r="J65" i="33" s="1"/>
  <c r="D65" i="33"/>
  <c r="U65" i="33" s="1"/>
  <c r="V65" i="33" s="1"/>
  <c r="C66" i="33"/>
  <c r="I66" i="33" s="1"/>
  <c r="J66" i="33" s="1"/>
  <c r="D66" i="33"/>
  <c r="U66" i="33" s="1"/>
  <c r="V66" i="33" s="1"/>
  <c r="C67" i="33"/>
  <c r="I67" i="33" s="1"/>
  <c r="J67" i="33" s="1"/>
  <c r="D67" i="33"/>
  <c r="U67" i="33" s="1"/>
  <c r="V67" i="33" s="1"/>
  <c r="C68" i="33"/>
  <c r="I68" i="33" s="1"/>
  <c r="J68" i="33" s="1"/>
  <c r="D68" i="33"/>
  <c r="U68" i="33" s="1"/>
  <c r="V68" i="33" s="1"/>
  <c r="C69" i="33"/>
  <c r="I69" i="33" s="1"/>
  <c r="J69" i="33" s="1"/>
  <c r="D69" i="33"/>
  <c r="U69" i="33" s="1"/>
  <c r="V69" i="33" s="1"/>
  <c r="C70" i="33"/>
  <c r="I70" i="33" s="1"/>
  <c r="J70" i="33" s="1"/>
  <c r="D70" i="33"/>
  <c r="U70" i="33" s="1"/>
  <c r="V70" i="33" s="1"/>
  <c r="C71" i="33"/>
  <c r="I71" i="33" s="1"/>
  <c r="J71" i="33" s="1"/>
  <c r="D71" i="33"/>
  <c r="U71" i="33" s="1"/>
  <c r="V71" i="33" s="1"/>
  <c r="C72" i="33"/>
  <c r="I72" i="33" s="1"/>
  <c r="J72" i="33" s="1"/>
  <c r="D72" i="33"/>
  <c r="U72" i="33" s="1"/>
  <c r="V72" i="33" s="1"/>
  <c r="C73" i="33"/>
  <c r="I73" i="33" s="1"/>
  <c r="J73" i="33" s="1"/>
  <c r="D73" i="33"/>
  <c r="U73" i="33" s="1"/>
  <c r="V73" i="33" s="1"/>
  <c r="I74" i="33"/>
  <c r="J74" i="33" s="1"/>
  <c r="U74" i="33"/>
  <c r="V74" i="33" s="1"/>
  <c r="I75" i="33"/>
  <c r="J75" i="33" s="1"/>
  <c r="U75" i="33"/>
  <c r="V75" i="33" s="1"/>
  <c r="I76" i="33"/>
  <c r="J76" i="33" s="1"/>
  <c r="U76" i="33"/>
  <c r="V76" i="33" s="1"/>
  <c r="I77" i="33"/>
  <c r="J77" i="33" s="1"/>
  <c r="U77" i="33"/>
  <c r="V77" i="33" s="1"/>
  <c r="I78" i="33"/>
  <c r="J78" i="33" s="1"/>
  <c r="U78" i="33"/>
  <c r="V78" i="33" s="1"/>
  <c r="I79" i="33"/>
  <c r="J79" i="33" s="1"/>
  <c r="U79" i="33"/>
  <c r="V79" i="33" s="1"/>
  <c r="I80" i="33"/>
  <c r="J80" i="33" s="1"/>
  <c r="U80" i="33"/>
  <c r="V80" i="33" s="1"/>
  <c r="I81" i="33"/>
  <c r="J81" i="33" s="1"/>
  <c r="U81" i="33"/>
  <c r="V81" i="33" s="1"/>
  <c r="I82" i="33"/>
  <c r="J82" i="33" s="1"/>
  <c r="U82" i="33"/>
  <c r="V82" i="33" s="1"/>
  <c r="I83" i="33"/>
  <c r="J83" i="33" s="1"/>
  <c r="U83" i="33"/>
  <c r="V83" i="33" s="1"/>
  <c r="I84" i="33"/>
  <c r="J84" i="33" s="1"/>
  <c r="U84" i="33"/>
  <c r="V84" i="33" s="1"/>
  <c r="I85" i="33"/>
  <c r="J85" i="33" s="1"/>
  <c r="U85" i="33"/>
  <c r="V85" i="33" s="1"/>
  <c r="I86" i="33"/>
  <c r="J86" i="33" s="1"/>
  <c r="U86" i="33"/>
  <c r="V86" i="33" s="1"/>
  <c r="I87" i="33"/>
  <c r="J87" i="33" s="1"/>
  <c r="U87" i="33"/>
  <c r="V87" i="33" s="1"/>
  <c r="I88" i="33"/>
  <c r="J88" i="33" s="1"/>
  <c r="U88" i="33"/>
  <c r="V88" i="33" s="1"/>
  <c r="I89" i="33"/>
  <c r="J89" i="33" s="1"/>
  <c r="U89" i="33"/>
  <c r="V89" i="33" s="1"/>
  <c r="I90" i="33"/>
  <c r="J90" i="33" s="1"/>
  <c r="U90" i="33"/>
  <c r="V90" i="33" s="1"/>
  <c r="I91" i="33"/>
  <c r="J91" i="33" s="1"/>
  <c r="U91" i="33"/>
  <c r="V91" i="33" s="1"/>
  <c r="I92" i="33"/>
  <c r="J92" i="33" s="1"/>
  <c r="U92" i="33"/>
  <c r="V92" i="33" s="1"/>
  <c r="I93" i="33"/>
  <c r="J93" i="33" s="1"/>
  <c r="U93" i="33"/>
  <c r="V93" i="33" s="1"/>
  <c r="I94" i="33"/>
  <c r="J94" i="33" s="1"/>
  <c r="U94" i="33"/>
  <c r="V94" i="33" s="1"/>
  <c r="I95" i="33"/>
  <c r="J95" i="33" s="1"/>
  <c r="U95" i="33"/>
  <c r="V95" i="33" s="1"/>
  <c r="I96" i="33"/>
  <c r="J96" i="33" s="1"/>
  <c r="U96" i="33"/>
  <c r="V96" i="33" s="1"/>
  <c r="I97" i="33"/>
  <c r="J97" i="33" s="1"/>
  <c r="U97" i="33"/>
  <c r="V97" i="33" s="1"/>
  <c r="I98" i="33"/>
  <c r="J98" i="33" s="1"/>
  <c r="U98" i="33"/>
  <c r="V98" i="33" s="1"/>
  <c r="I99" i="33"/>
  <c r="J99" i="33" s="1"/>
  <c r="U99" i="33"/>
  <c r="V99" i="33" s="1"/>
  <c r="I100" i="33"/>
  <c r="J100" i="33" s="1"/>
  <c r="U100" i="33"/>
  <c r="V100" i="33" s="1"/>
  <c r="I101" i="33"/>
  <c r="J101" i="33" s="1"/>
  <c r="U101" i="33"/>
  <c r="V101" i="33" s="1"/>
  <c r="I102" i="33"/>
  <c r="J102" i="33" s="1"/>
  <c r="U102" i="33"/>
  <c r="V102" i="33" s="1"/>
  <c r="I103" i="33"/>
  <c r="J103" i="33" s="1"/>
  <c r="U103" i="33"/>
  <c r="V103" i="33" s="1"/>
  <c r="I104" i="33"/>
  <c r="J104" i="33" s="1"/>
  <c r="U104" i="33"/>
  <c r="V104" i="33" s="1"/>
  <c r="I105" i="33"/>
  <c r="J105" i="33" s="1"/>
  <c r="U105" i="33"/>
  <c r="V105" i="33" s="1"/>
  <c r="I106" i="33"/>
  <c r="J106" i="33" s="1"/>
  <c r="U106" i="33"/>
  <c r="V106" i="33" s="1"/>
  <c r="I107" i="33"/>
  <c r="J107" i="33" s="1"/>
  <c r="U107" i="33"/>
  <c r="V107" i="33" s="1"/>
  <c r="I108" i="33"/>
  <c r="J108" i="33" s="1"/>
  <c r="U108" i="33"/>
  <c r="V108" i="33" s="1"/>
  <c r="I109" i="33"/>
  <c r="J109" i="33" s="1"/>
  <c r="V109" i="33"/>
  <c r="I8" i="32"/>
  <c r="J8" i="32" s="1"/>
  <c r="U8" i="32"/>
  <c r="T8" i="32" s="1"/>
  <c r="S9" i="32" s="1"/>
  <c r="I9" i="32"/>
  <c r="J9" i="32" s="1"/>
  <c r="U9" i="32"/>
  <c r="V9" i="32" s="1"/>
  <c r="I10" i="32"/>
  <c r="J10" i="32" s="1"/>
  <c r="U10" i="32"/>
  <c r="V10" i="32" s="1"/>
  <c r="I11" i="32"/>
  <c r="J11" i="32" s="1"/>
  <c r="U11" i="32"/>
  <c r="V11" i="32" s="1"/>
  <c r="I12" i="32"/>
  <c r="J12" i="32" s="1"/>
  <c r="U12" i="32"/>
  <c r="V12" i="32" s="1"/>
  <c r="I13" i="32"/>
  <c r="J13" i="32" s="1"/>
  <c r="U13" i="32"/>
  <c r="V13" i="32" s="1"/>
  <c r="I14" i="32"/>
  <c r="J14" i="32" s="1"/>
  <c r="U14" i="32"/>
  <c r="V14" i="32" s="1"/>
  <c r="I15" i="32"/>
  <c r="J15" i="32" s="1"/>
  <c r="U15" i="32"/>
  <c r="V15" i="32" s="1"/>
  <c r="I16" i="32"/>
  <c r="J16" i="32" s="1"/>
  <c r="U16" i="32"/>
  <c r="V16" i="32" s="1"/>
  <c r="I17" i="32"/>
  <c r="J17" i="32" s="1"/>
  <c r="U17" i="32"/>
  <c r="V17" i="32" s="1"/>
  <c r="I18" i="32"/>
  <c r="J18" i="32" s="1"/>
  <c r="U18" i="32"/>
  <c r="V18" i="32" s="1"/>
  <c r="I19" i="32"/>
  <c r="J19" i="32" s="1"/>
  <c r="U19" i="32"/>
  <c r="V19" i="32" s="1"/>
  <c r="I20" i="32"/>
  <c r="J20" i="32" s="1"/>
  <c r="U20" i="32"/>
  <c r="V20" i="32" s="1"/>
  <c r="I21" i="32"/>
  <c r="J21" i="32" s="1"/>
  <c r="U21" i="32"/>
  <c r="V21" i="32" s="1"/>
  <c r="I22" i="32"/>
  <c r="J22" i="32" s="1"/>
  <c r="U22" i="32"/>
  <c r="V22" i="32" s="1"/>
  <c r="I23" i="32"/>
  <c r="J23" i="32" s="1"/>
  <c r="U23" i="32"/>
  <c r="V23" i="32" s="1"/>
  <c r="I24" i="32"/>
  <c r="J24" i="32" s="1"/>
  <c r="U24" i="32"/>
  <c r="V24" i="32" s="1"/>
  <c r="I25" i="32"/>
  <c r="J25" i="32" s="1"/>
  <c r="U25" i="32"/>
  <c r="V25" i="32" s="1"/>
  <c r="I26" i="32"/>
  <c r="J26" i="32" s="1"/>
  <c r="U26" i="32"/>
  <c r="V26" i="32" s="1"/>
  <c r="I27" i="32"/>
  <c r="J27" i="32" s="1"/>
  <c r="U27" i="32"/>
  <c r="V27" i="32" s="1"/>
  <c r="I28" i="32"/>
  <c r="J28" i="32" s="1"/>
  <c r="U28" i="32"/>
  <c r="V28" i="32" s="1"/>
  <c r="I29" i="32"/>
  <c r="J29" i="32" s="1"/>
  <c r="U29" i="32"/>
  <c r="V29" i="32" s="1"/>
  <c r="I30" i="32"/>
  <c r="J30" i="32" s="1"/>
  <c r="U30" i="32"/>
  <c r="V30" i="32" s="1"/>
  <c r="I31" i="32"/>
  <c r="J31" i="32" s="1"/>
  <c r="U31" i="32"/>
  <c r="V31" i="32" s="1"/>
  <c r="I32" i="32"/>
  <c r="J32" i="32" s="1"/>
  <c r="U32" i="32"/>
  <c r="V32" i="32" s="1"/>
  <c r="I33" i="32"/>
  <c r="J33" i="32" s="1"/>
  <c r="U33" i="32"/>
  <c r="V33" i="32" s="1"/>
  <c r="I34" i="32"/>
  <c r="J34" i="32" s="1"/>
  <c r="U34" i="32"/>
  <c r="V34" i="32" s="1"/>
  <c r="I35" i="32"/>
  <c r="J35" i="32" s="1"/>
  <c r="U35" i="32"/>
  <c r="V35" i="32" s="1"/>
  <c r="I36" i="32"/>
  <c r="J36" i="32" s="1"/>
  <c r="U36" i="32"/>
  <c r="V36" i="32" s="1"/>
  <c r="I37" i="32"/>
  <c r="J37" i="32" s="1"/>
  <c r="U37" i="32"/>
  <c r="V37" i="32" s="1"/>
  <c r="I38" i="32"/>
  <c r="J38" i="32" s="1"/>
  <c r="U38" i="32"/>
  <c r="V38" i="32" s="1"/>
  <c r="I39" i="32"/>
  <c r="J39" i="32" s="1"/>
  <c r="U39" i="32"/>
  <c r="V39" i="32" s="1"/>
  <c r="I40" i="32"/>
  <c r="J40" i="32" s="1"/>
  <c r="U40" i="32"/>
  <c r="V40" i="32" s="1"/>
  <c r="I41" i="32"/>
  <c r="J41" i="32" s="1"/>
  <c r="U41" i="32"/>
  <c r="V41" i="32" s="1"/>
  <c r="I42" i="32"/>
  <c r="J42" i="32" s="1"/>
  <c r="U42" i="32"/>
  <c r="V42" i="32" s="1"/>
  <c r="I43" i="32"/>
  <c r="J43" i="32" s="1"/>
  <c r="U43" i="32"/>
  <c r="V43" i="32" s="1"/>
  <c r="I44" i="32"/>
  <c r="J44" i="32" s="1"/>
  <c r="U44" i="32"/>
  <c r="V44" i="32" s="1"/>
  <c r="I45" i="32"/>
  <c r="J45" i="32" s="1"/>
  <c r="U45" i="32"/>
  <c r="V45" i="32" s="1"/>
  <c r="I46" i="32"/>
  <c r="J46" i="32" s="1"/>
  <c r="U46" i="32"/>
  <c r="V46" i="32" s="1"/>
  <c r="I47" i="32"/>
  <c r="J47" i="32" s="1"/>
  <c r="U47" i="32"/>
  <c r="V47" i="32" s="1"/>
  <c r="I48" i="32"/>
  <c r="J48" i="32" s="1"/>
  <c r="U48" i="32"/>
  <c r="V48" i="32" s="1"/>
  <c r="I49" i="32"/>
  <c r="J49" i="32" s="1"/>
  <c r="U49" i="32"/>
  <c r="V49" i="32" s="1"/>
  <c r="I50" i="32"/>
  <c r="J50" i="32" s="1"/>
  <c r="U50" i="32"/>
  <c r="V50" i="32" s="1"/>
  <c r="I51" i="32"/>
  <c r="J51" i="32" s="1"/>
  <c r="U51" i="32"/>
  <c r="V51" i="32" s="1"/>
  <c r="I52" i="32"/>
  <c r="J52" i="32" s="1"/>
  <c r="U52" i="32"/>
  <c r="V52" i="32" s="1"/>
  <c r="I53" i="32"/>
  <c r="J53" i="32" s="1"/>
  <c r="U53" i="32"/>
  <c r="V53" i="32" s="1"/>
  <c r="I54" i="32"/>
  <c r="J54" i="32" s="1"/>
  <c r="U54" i="32"/>
  <c r="V54" i="32" s="1"/>
  <c r="I55" i="32"/>
  <c r="J55" i="32" s="1"/>
  <c r="U55" i="32"/>
  <c r="V55" i="32" s="1"/>
  <c r="I56" i="32"/>
  <c r="J56" i="32" s="1"/>
  <c r="U56" i="32"/>
  <c r="V56" i="32" s="1"/>
  <c r="I57" i="32"/>
  <c r="J57" i="32" s="1"/>
  <c r="U57" i="32"/>
  <c r="V57" i="32" s="1"/>
  <c r="I58" i="32"/>
  <c r="J58" i="32" s="1"/>
  <c r="U58" i="32"/>
  <c r="V58" i="32" s="1"/>
  <c r="I59" i="32"/>
  <c r="J59" i="32" s="1"/>
  <c r="U59" i="32"/>
  <c r="V59" i="32" s="1"/>
  <c r="I60" i="32"/>
  <c r="J60" i="32" s="1"/>
  <c r="U60" i="32"/>
  <c r="V60" i="32" s="1"/>
  <c r="I61" i="32"/>
  <c r="J61" i="32" s="1"/>
  <c r="U61" i="32"/>
  <c r="V61" i="32" s="1"/>
  <c r="I62" i="32"/>
  <c r="J62" i="32" s="1"/>
  <c r="U62" i="32"/>
  <c r="V62" i="32" s="1"/>
  <c r="I63" i="32"/>
  <c r="J63" i="32" s="1"/>
  <c r="U63" i="32"/>
  <c r="V63" i="32" s="1"/>
  <c r="I64" i="32"/>
  <c r="J64" i="32" s="1"/>
  <c r="U64" i="32"/>
  <c r="V64" i="32" s="1"/>
  <c r="I65" i="32"/>
  <c r="J65" i="32" s="1"/>
  <c r="U65" i="32"/>
  <c r="V65" i="32" s="1"/>
  <c r="I66" i="32"/>
  <c r="J66" i="32" s="1"/>
  <c r="U66" i="32"/>
  <c r="V66" i="32" s="1"/>
  <c r="I67" i="32"/>
  <c r="J67" i="32" s="1"/>
  <c r="U67" i="32"/>
  <c r="V67" i="32" s="1"/>
  <c r="I68" i="32"/>
  <c r="J68" i="32" s="1"/>
  <c r="U68" i="32"/>
  <c r="V68" i="32" s="1"/>
  <c r="I69" i="32"/>
  <c r="J69" i="32" s="1"/>
  <c r="U69" i="32"/>
  <c r="V69" i="32" s="1"/>
  <c r="I70" i="32"/>
  <c r="J70" i="32" s="1"/>
  <c r="U70" i="32"/>
  <c r="V70" i="32" s="1"/>
  <c r="I71" i="32"/>
  <c r="J71" i="32" s="1"/>
  <c r="U71" i="32"/>
  <c r="V71" i="32" s="1"/>
  <c r="I72" i="32"/>
  <c r="J72" i="32" s="1"/>
  <c r="U72" i="32"/>
  <c r="V72" i="32" s="1"/>
  <c r="I73" i="32"/>
  <c r="J73" i="32" s="1"/>
  <c r="U73" i="32"/>
  <c r="V73" i="32" s="1"/>
  <c r="I74" i="32"/>
  <c r="J74" i="32" s="1"/>
  <c r="U74" i="32"/>
  <c r="V74" i="32" s="1"/>
  <c r="I75" i="32"/>
  <c r="J75" i="32" s="1"/>
  <c r="U75" i="32"/>
  <c r="V75" i="32" s="1"/>
  <c r="I76" i="32"/>
  <c r="J76" i="32" s="1"/>
  <c r="U76" i="32"/>
  <c r="V76" i="32" s="1"/>
  <c r="I77" i="32"/>
  <c r="J77" i="32" s="1"/>
  <c r="U77" i="32"/>
  <c r="V77" i="32" s="1"/>
  <c r="I78" i="32"/>
  <c r="J78" i="32" s="1"/>
  <c r="U78" i="32"/>
  <c r="V78" i="32" s="1"/>
  <c r="I79" i="32"/>
  <c r="J79" i="32" s="1"/>
  <c r="U79" i="32"/>
  <c r="V79" i="32" s="1"/>
  <c r="I80" i="32"/>
  <c r="J80" i="32" s="1"/>
  <c r="U80" i="32"/>
  <c r="V80" i="32" s="1"/>
  <c r="I81" i="32"/>
  <c r="J81" i="32" s="1"/>
  <c r="U81" i="32"/>
  <c r="V81" i="32" s="1"/>
  <c r="I82" i="32"/>
  <c r="J82" i="32" s="1"/>
  <c r="U82" i="32"/>
  <c r="V82" i="32" s="1"/>
  <c r="I83" i="32"/>
  <c r="J83" i="32" s="1"/>
  <c r="U83" i="32"/>
  <c r="V83" i="32" s="1"/>
  <c r="I84" i="32"/>
  <c r="J84" i="32" s="1"/>
  <c r="U84" i="32"/>
  <c r="V84" i="32" s="1"/>
  <c r="I85" i="32"/>
  <c r="J85" i="32" s="1"/>
  <c r="U85" i="32"/>
  <c r="V85" i="32" s="1"/>
  <c r="I86" i="32"/>
  <c r="J86" i="32" s="1"/>
  <c r="U86" i="32"/>
  <c r="V86" i="32" s="1"/>
  <c r="I87" i="32"/>
  <c r="J87" i="32" s="1"/>
  <c r="U87" i="32"/>
  <c r="V87" i="32" s="1"/>
  <c r="I88" i="32"/>
  <c r="J88" i="32" s="1"/>
  <c r="U88" i="32"/>
  <c r="V88" i="32" s="1"/>
  <c r="I89" i="32"/>
  <c r="J89" i="32" s="1"/>
  <c r="U89" i="32"/>
  <c r="V89" i="32" s="1"/>
  <c r="I90" i="32"/>
  <c r="J90" i="32" s="1"/>
  <c r="U90" i="32"/>
  <c r="V90" i="32" s="1"/>
  <c r="I91" i="32"/>
  <c r="J91" i="32" s="1"/>
  <c r="U91" i="32"/>
  <c r="V91" i="32" s="1"/>
  <c r="I92" i="32"/>
  <c r="J92" i="32" s="1"/>
  <c r="U92" i="32"/>
  <c r="V92" i="32" s="1"/>
  <c r="I93" i="32"/>
  <c r="J93" i="32" s="1"/>
  <c r="U93" i="32"/>
  <c r="V93" i="32" s="1"/>
  <c r="I94" i="32"/>
  <c r="J94" i="32" s="1"/>
  <c r="U94" i="32"/>
  <c r="V94" i="32" s="1"/>
  <c r="I95" i="32"/>
  <c r="J95" i="32" s="1"/>
  <c r="U95" i="32"/>
  <c r="V95" i="32" s="1"/>
  <c r="I96" i="32"/>
  <c r="J96" i="32" s="1"/>
  <c r="U96" i="32"/>
  <c r="V96" i="32" s="1"/>
  <c r="I97" i="32"/>
  <c r="J97" i="32" s="1"/>
  <c r="U97" i="32"/>
  <c r="V97" i="32" s="1"/>
  <c r="I98" i="32"/>
  <c r="J98" i="32" s="1"/>
  <c r="U98" i="32"/>
  <c r="V98" i="32" s="1"/>
  <c r="I99" i="32"/>
  <c r="J99" i="32" s="1"/>
  <c r="U99" i="32"/>
  <c r="V99" i="32" s="1"/>
  <c r="I100" i="32"/>
  <c r="J100" i="32" s="1"/>
  <c r="U100" i="32"/>
  <c r="V100" i="32" s="1"/>
  <c r="I101" i="32"/>
  <c r="J101" i="32" s="1"/>
  <c r="U101" i="32"/>
  <c r="V101" i="32" s="1"/>
  <c r="I102" i="32"/>
  <c r="J102" i="32" s="1"/>
  <c r="U102" i="32"/>
  <c r="V102" i="32" s="1"/>
  <c r="I103" i="32"/>
  <c r="J103" i="32" s="1"/>
  <c r="U103" i="32"/>
  <c r="V103" i="32" s="1"/>
  <c r="I104" i="32"/>
  <c r="J104" i="32" s="1"/>
  <c r="U104" i="32"/>
  <c r="V104" i="32" s="1"/>
  <c r="I105" i="32"/>
  <c r="J105" i="32" s="1"/>
  <c r="U105" i="32"/>
  <c r="V105" i="32" s="1"/>
  <c r="I106" i="32"/>
  <c r="J106" i="32" s="1"/>
  <c r="U106" i="32"/>
  <c r="V106" i="32" s="1"/>
  <c r="I107" i="32"/>
  <c r="J107" i="32" s="1"/>
  <c r="U107" i="32"/>
  <c r="V107" i="32" s="1"/>
  <c r="I108" i="32"/>
  <c r="J108" i="32" s="1"/>
  <c r="U108" i="32"/>
  <c r="V108" i="32" s="1"/>
  <c r="I109" i="32"/>
  <c r="J109" i="32" s="1"/>
  <c r="V109" i="32"/>
  <c r="I8" i="31"/>
  <c r="H8" i="31" s="1"/>
  <c r="G9" i="31" s="1"/>
  <c r="U8" i="31"/>
  <c r="T8" i="31" s="1"/>
  <c r="S9" i="31" s="1"/>
  <c r="I9" i="31"/>
  <c r="J9" i="31" s="1"/>
  <c r="U9" i="31"/>
  <c r="V9" i="31" s="1"/>
  <c r="I10" i="31"/>
  <c r="J10" i="31" s="1"/>
  <c r="U10" i="31"/>
  <c r="V10" i="31" s="1"/>
  <c r="I11" i="31"/>
  <c r="J11" i="31" s="1"/>
  <c r="U11" i="31"/>
  <c r="V11" i="31" s="1"/>
  <c r="I12" i="31"/>
  <c r="J12" i="31" s="1"/>
  <c r="U12" i="31"/>
  <c r="V12" i="31" s="1"/>
  <c r="I13" i="31"/>
  <c r="J13" i="31" s="1"/>
  <c r="U13" i="31"/>
  <c r="V13" i="31" s="1"/>
  <c r="I14" i="31"/>
  <c r="J14" i="31" s="1"/>
  <c r="U14" i="31"/>
  <c r="V14" i="31" s="1"/>
  <c r="I15" i="31"/>
  <c r="J15" i="31" s="1"/>
  <c r="U15" i="31"/>
  <c r="V15" i="31" s="1"/>
  <c r="I16" i="31"/>
  <c r="J16" i="31" s="1"/>
  <c r="U16" i="31"/>
  <c r="V16" i="31" s="1"/>
  <c r="I17" i="31"/>
  <c r="J17" i="31" s="1"/>
  <c r="U17" i="31"/>
  <c r="V17" i="31" s="1"/>
  <c r="I18" i="31"/>
  <c r="J18" i="31" s="1"/>
  <c r="U18" i="31"/>
  <c r="V18" i="31" s="1"/>
  <c r="I19" i="31"/>
  <c r="J19" i="31" s="1"/>
  <c r="U19" i="31"/>
  <c r="V19" i="31" s="1"/>
  <c r="I20" i="31"/>
  <c r="J20" i="31" s="1"/>
  <c r="U20" i="31"/>
  <c r="V20" i="31" s="1"/>
  <c r="I21" i="31"/>
  <c r="J21" i="31" s="1"/>
  <c r="U21" i="31"/>
  <c r="V21" i="31" s="1"/>
  <c r="I22" i="31"/>
  <c r="J22" i="31" s="1"/>
  <c r="U22" i="31"/>
  <c r="V22" i="31" s="1"/>
  <c r="I23" i="31"/>
  <c r="J23" i="31" s="1"/>
  <c r="U23" i="31"/>
  <c r="V23" i="31" s="1"/>
  <c r="I24" i="31"/>
  <c r="J24" i="31" s="1"/>
  <c r="U24" i="31"/>
  <c r="V24" i="31" s="1"/>
  <c r="I25" i="31"/>
  <c r="J25" i="31" s="1"/>
  <c r="U25" i="31"/>
  <c r="V25" i="31" s="1"/>
  <c r="I26" i="31"/>
  <c r="J26" i="31" s="1"/>
  <c r="U26" i="31"/>
  <c r="V26" i="31" s="1"/>
  <c r="I27" i="31"/>
  <c r="J27" i="31" s="1"/>
  <c r="U27" i="31"/>
  <c r="V27" i="31" s="1"/>
  <c r="I28" i="31"/>
  <c r="J28" i="31" s="1"/>
  <c r="U28" i="31"/>
  <c r="V28" i="31" s="1"/>
  <c r="I29" i="31"/>
  <c r="J29" i="31" s="1"/>
  <c r="U29" i="31"/>
  <c r="V29" i="31" s="1"/>
  <c r="I30" i="31"/>
  <c r="J30" i="31" s="1"/>
  <c r="U30" i="31"/>
  <c r="V30" i="31" s="1"/>
  <c r="I31" i="31"/>
  <c r="J31" i="31" s="1"/>
  <c r="U31" i="31"/>
  <c r="V31" i="31" s="1"/>
  <c r="I32" i="31"/>
  <c r="J32" i="31" s="1"/>
  <c r="U32" i="31"/>
  <c r="V32" i="31" s="1"/>
  <c r="I33" i="31"/>
  <c r="J33" i="31" s="1"/>
  <c r="U33" i="31"/>
  <c r="V33" i="31" s="1"/>
  <c r="I34" i="31"/>
  <c r="J34" i="31" s="1"/>
  <c r="U34" i="31"/>
  <c r="V34" i="31" s="1"/>
  <c r="I35" i="31"/>
  <c r="J35" i="31" s="1"/>
  <c r="U35" i="31"/>
  <c r="V35" i="31" s="1"/>
  <c r="I36" i="31"/>
  <c r="J36" i="31" s="1"/>
  <c r="U36" i="31"/>
  <c r="V36" i="31" s="1"/>
  <c r="I37" i="31"/>
  <c r="J37" i="31" s="1"/>
  <c r="U37" i="31"/>
  <c r="V37" i="31" s="1"/>
  <c r="I38" i="31"/>
  <c r="J38" i="31" s="1"/>
  <c r="U38" i="31"/>
  <c r="V38" i="31" s="1"/>
  <c r="I39" i="31"/>
  <c r="J39" i="31" s="1"/>
  <c r="U39" i="31"/>
  <c r="V39" i="31" s="1"/>
  <c r="I40" i="31"/>
  <c r="J40" i="31" s="1"/>
  <c r="U40" i="31"/>
  <c r="V40" i="31" s="1"/>
  <c r="I41" i="31"/>
  <c r="J41" i="31" s="1"/>
  <c r="U41" i="31"/>
  <c r="V41" i="31" s="1"/>
  <c r="I42" i="31"/>
  <c r="J42" i="31" s="1"/>
  <c r="U42" i="31"/>
  <c r="V42" i="31" s="1"/>
  <c r="I43" i="31"/>
  <c r="J43" i="31" s="1"/>
  <c r="U43" i="31"/>
  <c r="V43" i="31" s="1"/>
  <c r="I44" i="31"/>
  <c r="J44" i="31" s="1"/>
  <c r="U44" i="31"/>
  <c r="V44" i="31" s="1"/>
  <c r="I45" i="31"/>
  <c r="J45" i="31" s="1"/>
  <c r="U45" i="31"/>
  <c r="V45" i="31" s="1"/>
  <c r="I46" i="31"/>
  <c r="J46" i="31" s="1"/>
  <c r="U46" i="31"/>
  <c r="V46" i="31" s="1"/>
  <c r="I47" i="31"/>
  <c r="J47" i="31" s="1"/>
  <c r="U47" i="31"/>
  <c r="V47" i="31" s="1"/>
  <c r="I48" i="31"/>
  <c r="J48" i="31" s="1"/>
  <c r="U48" i="31"/>
  <c r="V48" i="31" s="1"/>
  <c r="I49" i="31"/>
  <c r="J49" i="31" s="1"/>
  <c r="U49" i="31"/>
  <c r="V49" i="31" s="1"/>
  <c r="I50" i="31"/>
  <c r="J50" i="31" s="1"/>
  <c r="U50" i="31"/>
  <c r="V50" i="31" s="1"/>
  <c r="I51" i="31"/>
  <c r="J51" i="31" s="1"/>
  <c r="U51" i="31"/>
  <c r="V51" i="31" s="1"/>
  <c r="I52" i="31"/>
  <c r="J52" i="31" s="1"/>
  <c r="U52" i="31"/>
  <c r="V52" i="31" s="1"/>
  <c r="I53" i="31"/>
  <c r="J53" i="31" s="1"/>
  <c r="U53" i="31"/>
  <c r="V53" i="31" s="1"/>
  <c r="I54" i="31"/>
  <c r="J54" i="31" s="1"/>
  <c r="U54" i="31"/>
  <c r="V54" i="31" s="1"/>
  <c r="I55" i="31"/>
  <c r="J55" i="31" s="1"/>
  <c r="U55" i="31"/>
  <c r="V55" i="31" s="1"/>
  <c r="I56" i="31"/>
  <c r="J56" i="31" s="1"/>
  <c r="U56" i="31"/>
  <c r="V56" i="31" s="1"/>
  <c r="I57" i="31"/>
  <c r="J57" i="31" s="1"/>
  <c r="U57" i="31"/>
  <c r="V57" i="31" s="1"/>
  <c r="I58" i="31"/>
  <c r="J58" i="31" s="1"/>
  <c r="U58" i="31"/>
  <c r="V58" i="31" s="1"/>
  <c r="I59" i="31"/>
  <c r="J59" i="31" s="1"/>
  <c r="U59" i="31"/>
  <c r="V59" i="31" s="1"/>
  <c r="I60" i="31"/>
  <c r="J60" i="31" s="1"/>
  <c r="U60" i="31"/>
  <c r="V60" i="31" s="1"/>
  <c r="I61" i="31"/>
  <c r="J61" i="31" s="1"/>
  <c r="U61" i="31"/>
  <c r="V61" i="31" s="1"/>
  <c r="I62" i="31"/>
  <c r="J62" i="31" s="1"/>
  <c r="U62" i="31"/>
  <c r="V62" i="31" s="1"/>
  <c r="I63" i="31"/>
  <c r="J63" i="31" s="1"/>
  <c r="U63" i="31"/>
  <c r="V63" i="31" s="1"/>
  <c r="I64" i="31"/>
  <c r="J64" i="31" s="1"/>
  <c r="U64" i="31"/>
  <c r="V64" i="31" s="1"/>
  <c r="I65" i="31"/>
  <c r="J65" i="31" s="1"/>
  <c r="U65" i="31"/>
  <c r="V65" i="31" s="1"/>
  <c r="I66" i="31"/>
  <c r="J66" i="31" s="1"/>
  <c r="U66" i="31"/>
  <c r="V66" i="31" s="1"/>
  <c r="I67" i="31"/>
  <c r="J67" i="31" s="1"/>
  <c r="U67" i="31"/>
  <c r="V67" i="31" s="1"/>
  <c r="I68" i="31"/>
  <c r="J68" i="31" s="1"/>
  <c r="U68" i="31"/>
  <c r="V68" i="31" s="1"/>
  <c r="I69" i="31"/>
  <c r="J69" i="31" s="1"/>
  <c r="U69" i="31"/>
  <c r="V69" i="31" s="1"/>
  <c r="I70" i="31"/>
  <c r="J70" i="31" s="1"/>
  <c r="U70" i="31"/>
  <c r="V70" i="31" s="1"/>
  <c r="I71" i="31"/>
  <c r="J71" i="31" s="1"/>
  <c r="U71" i="31"/>
  <c r="V71" i="31" s="1"/>
  <c r="I72" i="31"/>
  <c r="J72" i="31" s="1"/>
  <c r="U72" i="31"/>
  <c r="V72" i="31" s="1"/>
  <c r="I73" i="31"/>
  <c r="J73" i="31" s="1"/>
  <c r="U73" i="31"/>
  <c r="V73" i="31" s="1"/>
  <c r="I74" i="31"/>
  <c r="J74" i="31" s="1"/>
  <c r="U74" i="31"/>
  <c r="V74" i="31" s="1"/>
  <c r="I75" i="31"/>
  <c r="J75" i="31" s="1"/>
  <c r="U75" i="31"/>
  <c r="V75" i="31" s="1"/>
  <c r="I76" i="31"/>
  <c r="J76" i="31" s="1"/>
  <c r="U76" i="31"/>
  <c r="V76" i="31" s="1"/>
  <c r="I77" i="31"/>
  <c r="J77" i="31" s="1"/>
  <c r="U77" i="31"/>
  <c r="V77" i="31" s="1"/>
  <c r="I78" i="31"/>
  <c r="J78" i="31" s="1"/>
  <c r="U78" i="31"/>
  <c r="V78" i="31" s="1"/>
  <c r="I79" i="31"/>
  <c r="J79" i="31" s="1"/>
  <c r="U79" i="31"/>
  <c r="V79" i="31" s="1"/>
  <c r="I80" i="31"/>
  <c r="J80" i="31" s="1"/>
  <c r="U80" i="31"/>
  <c r="V80" i="31" s="1"/>
  <c r="I81" i="31"/>
  <c r="J81" i="31" s="1"/>
  <c r="U81" i="31"/>
  <c r="V81" i="31" s="1"/>
  <c r="I82" i="31"/>
  <c r="J82" i="31" s="1"/>
  <c r="U82" i="31"/>
  <c r="V82" i="31" s="1"/>
  <c r="I83" i="31"/>
  <c r="J83" i="31" s="1"/>
  <c r="U83" i="31"/>
  <c r="V83" i="31" s="1"/>
  <c r="I84" i="31"/>
  <c r="J84" i="31" s="1"/>
  <c r="U84" i="31"/>
  <c r="V84" i="31" s="1"/>
  <c r="I85" i="31"/>
  <c r="J85" i="31" s="1"/>
  <c r="U85" i="31"/>
  <c r="V85" i="31" s="1"/>
  <c r="I86" i="31"/>
  <c r="J86" i="31" s="1"/>
  <c r="U86" i="31"/>
  <c r="V86" i="31" s="1"/>
  <c r="I87" i="31"/>
  <c r="J87" i="31" s="1"/>
  <c r="U87" i="31"/>
  <c r="V87" i="31" s="1"/>
  <c r="I88" i="31"/>
  <c r="J88" i="31" s="1"/>
  <c r="U88" i="31"/>
  <c r="V88" i="31" s="1"/>
  <c r="I89" i="31"/>
  <c r="J89" i="31" s="1"/>
  <c r="U89" i="31"/>
  <c r="V89" i="31" s="1"/>
  <c r="I90" i="31"/>
  <c r="J90" i="31" s="1"/>
  <c r="U90" i="31"/>
  <c r="V90" i="31" s="1"/>
  <c r="I91" i="31"/>
  <c r="J91" i="31" s="1"/>
  <c r="U91" i="31"/>
  <c r="V91" i="31" s="1"/>
  <c r="I92" i="31"/>
  <c r="J92" i="31" s="1"/>
  <c r="U92" i="31"/>
  <c r="V92" i="31" s="1"/>
  <c r="I93" i="31"/>
  <c r="J93" i="31" s="1"/>
  <c r="U93" i="31"/>
  <c r="V93" i="31" s="1"/>
  <c r="I94" i="31"/>
  <c r="J94" i="31" s="1"/>
  <c r="U94" i="31"/>
  <c r="V94" i="31" s="1"/>
  <c r="I95" i="31"/>
  <c r="J95" i="31" s="1"/>
  <c r="U95" i="31"/>
  <c r="V95" i="31" s="1"/>
  <c r="I96" i="31"/>
  <c r="J96" i="31" s="1"/>
  <c r="U96" i="31"/>
  <c r="V96" i="31" s="1"/>
  <c r="I97" i="31"/>
  <c r="J97" i="31" s="1"/>
  <c r="U97" i="31"/>
  <c r="V97" i="31" s="1"/>
  <c r="I98" i="31"/>
  <c r="J98" i="31" s="1"/>
  <c r="U98" i="31"/>
  <c r="V98" i="31" s="1"/>
  <c r="I99" i="31"/>
  <c r="J99" i="31" s="1"/>
  <c r="U99" i="31"/>
  <c r="V99" i="31" s="1"/>
  <c r="I100" i="31"/>
  <c r="J100" i="31" s="1"/>
  <c r="U100" i="31"/>
  <c r="V100" i="31" s="1"/>
  <c r="I101" i="31"/>
  <c r="J101" i="31" s="1"/>
  <c r="U101" i="31"/>
  <c r="V101" i="31" s="1"/>
  <c r="I102" i="31"/>
  <c r="J102" i="31" s="1"/>
  <c r="U102" i="31"/>
  <c r="V102" i="31" s="1"/>
  <c r="I103" i="31"/>
  <c r="J103" i="31" s="1"/>
  <c r="U103" i="31"/>
  <c r="V103" i="31" s="1"/>
  <c r="I104" i="31"/>
  <c r="J104" i="31" s="1"/>
  <c r="U104" i="31"/>
  <c r="V104" i="31" s="1"/>
  <c r="I105" i="31"/>
  <c r="J105" i="31" s="1"/>
  <c r="U105" i="31"/>
  <c r="V105" i="31" s="1"/>
  <c r="I106" i="31"/>
  <c r="J106" i="31" s="1"/>
  <c r="U106" i="31"/>
  <c r="V106" i="31" s="1"/>
  <c r="I107" i="31"/>
  <c r="J107" i="31" s="1"/>
  <c r="U107" i="31"/>
  <c r="V107" i="31" s="1"/>
  <c r="I108" i="31"/>
  <c r="J108" i="31" s="1"/>
  <c r="U108" i="31"/>
  <c r="V108" i="31" s="1"/>
  <c r="I109" i="31"/>
  <c r="J109" i="31" s="1"/>
  <c r="V109" i="31"/>
  <c r="K4" i="29"/>
  <c r="M4" i="29" s="1"/>
  <c r="K5" i="29"/>
  <c r="M5" i="29" s="1"/>
  <c r="M6" i="29"/>
  <c r="L16" i="29"/>
  <c r="M16" i="29" s="1"/>
  <c r="N16" i="29" s="1"/>
  <c r="O16" i="29" s="1"/>
  <c r="D6" i="28"/>
  <c r="D10" i="28" s="1"/>
  <c r="D7" i="28"/>
  <c r="D15" i="28"/>
  <c r="D16" i="28" s="1"/>
  <c r="G24" i="28"/>
  <c r="D19" i="28"/>
  <c r="I24" i="28"/>
  <c r="B35" i="28"/>
  <c r="D38" i="28"/>
  <c r="D39" i="28"/>
  <c r="D40" i="28"/>
  <c r="B42" i="28"/>
  <c r="E41" i="17"/>
  <c r="M19" i="14"/>
  <c r="G29" i="17"/>
  <c r="G28" i="17"/>
  <c r="K19" i="14"/>
  <c r="C9" i="15"/>
  <c r="C8" i="15" s="1"/>
  <c r="B4" i="14" s="1"/>
  <c r="K24" i="14"/>
  <c r="K25" i="14" s="1"/>
  <c r="K23" i="14"/>
  <c r="K7" i="14"/>
  <c r="D2" i="28" s="1"/>
  <c r="G12" i="15"/>
  <c r="G31" i="17"/>
  <c r="G27" i="17"/>
  <c r="G21" i="17"/>
  <c r="G20" i="17"/>
  <c r="F12" i="37" l="1"/>
  <c r="H8" i="32"/>
  <c r="G9" i="32" s="1"/>
  <c r="T9" i="31"/>
  <c r="S10" i="31" s="1"/>
  <c r="T10" i="31" s="1"/>
  <c r="S11" i="31" s="1"/>
  <c r="C31" i="38"/>
  <c r="C32" i="38" s="1"/>
  <c r="C33" i="38" s="1"/>
  <c r="V8" i="32"/>
  <c r="F17" i="37"/>
  <c r="D17" i="37" s="1"/>
  <c r="V8" i="31"/>
  <c r="J8" i="31"/>
  <c r="D8" i="28"/>
  <c r="E18" i="28" s="1"/>
  <c r="H9" i="31"/>
  <c r="G10" i="31" s="1"/>
  <c r="H9" i="32"/>
  <c r="G10" i="32" s="1"/>
  <c r="T9" i="33"/>
  <c r="S10" i="33" s="1"/>
  <c r="T9" i="32"/>
  <c r="S10" i="32" s="1"/>
  <c r="V8" i="33"/>
  <c r="H8" i="33"/>
  <c r="G9" i="33" s="1"/>
  <c r="F18" i="37"/>
  <c r="M11" i="14"/>
  <c r="H24" i="28"/>
  <c r="E24" i="28"/>
  <c r="F24" i="28"/>
  <c r="I27" i="28"/>
  <c r="R6" i="33"/>
  <c r="C2" i="33"/>
  <c r="F6" i="33" s="1"/>
  <c r="C2" i="32"/>
  <c r="F6" i="32" s="1"/>
  <c r="E27" i="28"/>
  <c r="R6" i="32"/>
  <c r="F27" i="28"/>
  <c r="C2" i="31"/>
  <c r="F6" i="31" s="1"/>
  <c r="G27" i="28"/>
  <c r="R6" i="31"/>
  <c r="H27" i="28"/>
  <c r="D11" i="28"/>
  <c r="D49" i="28"/>
  <c r="D9" i="28"/>
  <c r="M31" i="14"/>
  <c r="D35" i="28"/>
  <c r="M18" i="14"/>
  <c r="M30" i="14"/>
  <c r="M5" i="14"/>
  <c r="M7" i="14"/>
  <c r="C17" i="37" l="1"/>
  <c r="H10" i="31"/>
  <c r="G11" i="31" s="1"/>
  <c r="T11" i="31"/>
  <c r="S12" i="31" s="1"/>
  <c r="T10" i="32"/>
  <c r="S11" i="32" s="1"/>
  <c r="T10" i="33"/>
  <c r="S11" i="33" s="1"/>
  <c r="H10" i="32"/>
  <c r="G11" i="32" s="1"/>
  <c r="H9" i="33"/>
  <c r="G10" i="33" s="1"/>
  <c r="C10" i="15"/>
  <c r="D13" i="17" s="1"/>
  <c r="P17" i="29"/>
  <c r="Q17" i="29" s="1"/>
  <c r="P16" i="29"/>
  <c r="Q16" i="29" s="1"/>
  <c r="H11" i="32" l="1"/>
  <c r="G12" i="32" s="1"/>
  <c r="T11" i="32"/>
  <c r="S12" i="32" s="1"/>
  <c r="T12" i="31"/>
  <c r="S13" i="31" s="1"/>
  <c r="H10" i="33"/>
  <c r="G11" i="33" s="1"/>
  <c r="T11" i="33"/>
  <c r="S12" i="33" s="1"/>
  <c r="H11" i="31"/>
  <c r="G12" i="31" s="1"/>
  <c r="E27" i="17"/>
  <c r="E38" i="28" s="1"/>
  <c r="E20" i="17"/>
  <c r="E34" i="28" s="1"/>
  <c r="C4" i="17"/>
  <c r="H13" i="17"/>
  <c r="E29" i="17"/>
  <c r="E40" i="28" s="1"/>
  <c r="D15" i="17"/>
  <c r="H14" i="17"/>
  <c r="E21" i="17"/>
  <c r="E35" i="28" s="1"/>
  <c r="H15" i="17"/>
  <c r="E28" i="17"/>
  <c r="E39" i="28" s="1"/>
  <c r="D14" i="17"/>
  <c r="W8" i="31"/>
  <c r="N11" i="31"/>
  <c r="W12" i="32"/>
  <c r="K10" i="31"/>
  <c r="Z10" i="33"/>
  <c r="W11" i="33"/>
  <c r="Z8" i="32"/>
  <c r="Z11" i="31"/>
  <c r="W9" i="32"/>
  <c r="Z9" i="33"/>
  <c r="W8" i="32"/>
  <c r="W11" i="31"/>
  <c r="W11" i="32"/>
  <c r="Z9" i="31"/>
  <c r="W10" i="33"/>
  <c r="K11" i="32"/>
  <c r="N8" i="32"/>
  <c r="K8" i="31"/>
  <c r="N9" i="32"/>
  <c r="N11" i="32"/>
  <c r="N8" i="33"/>
  <c r="W9" i="33"/>
  <c r="K9" i="31"/>
  <c r="W13" i="31"/>
  <c r="N9" i="33"/>
  <c r="W10" i="32"/>
  <c r="W12" i="31"/>
  <c r="K10" i="32"/>
  <c r="W12" i="33"/>
  <c r="K11" i="31"/>
  <c r="Z11" i="32"/>
  <c r="Z8" i="33"/>
  <c r="Z10" i="31"/>
  <c r="W8" i="33"/>
  <c r="Z9" i="32"/>
  <c r="N10" i="32"/>
  <c r="W10" i="31"/>
  <c r="Z11" i="33"/>
  <c r="N10" i="31"/>
  <c r="Z10" i="32"/>
  <c r="K10" i="33"/>
  <c r="K8" i="32"/>
  <c r="N10" i="33"/>
  <c r="W9" i="31"/>
  <c r="N9" i="31"/>
  <c r="K12" i="32"/>
  <c r="Z12" i="31"/>
  <c r="K8" i="33"/>
  <c r="K9" i="32"/>
  <c r="K9" i="33"/>
  <c r="D27" i="28"/>
  <c r="Z8" i="31"/>
  <c r="N8" i="31"/>
  <c r="E49" i="28"/>
  <c r="H12" i="31" l="1"/>
  <c r="G13" i="31" s="1"/>
  <c r="T12" i="33"/>
  <c r="S13" i="33" s="1"/>
  <c r="H11" i="33"/>
  <c r="G12" i="33" s="1"/>
  <c r="T13" i="31"/>
  <c r="S14" i="31" s="1"/>
  <c r="T12" i="32"/>
  <c r="S13" i="32" s="1"/>
  <c r="H12" i="32"/>
  <c r="G13" i="32" s="1"/>
  <c r="H40" i="28"/>
  <c r="I40" i="28" s="1"/>
  <c r="F29" i="17" s="1"/>
  <c r="H38" i="28"/>
  <c r="I38" i="28" s="1"/>
  <c r="F27" i="17" s="1"/>
  <c r="I27" i="17" s="1"/>
  <c r="J27" i="17" s="1"/>
  <c r="H39" i="28"/>
  <c r="I39" i="28" s="1"/>
  <c r="F28" i="17" s="1"/>
  <c r="I29" i="17" s="1"/>
  <c r="J29" i="17" s="1"/>
  <c r="I44" i="28"/>
  <c r="I43" i="28"/>
  <c r="K11" i="33"/>
  <c r="K12" i="31"/>
  <c r="Z12" i="32"/>
  <c r="N11" i="33"/>
  <c r="Z12" i="33"/>
  <c r="N12" i="31"/>
  <c r="Z13" i="31"/>
  <c r="N12" i="32"/>
  <c r="T13" i="32" l="1"/>
  <c r="S14" i="32" s="1"/>
  <c r="T14" i="31"/>
  <c r="H12" i="33"/>
  <c r="T13" i="33"/>
  <c r="H13" i="31"/>
  <c r="H13" i="32"/>
  <c r="F31" i="17"/>
  <c r="I31" i="17" s="1"/>
  <c r="J31" i="17" s="1"/>
  <c r="I28" i="17"/>
  <c r="J28" i="17" s="1"/>
  <c r="Z13" i="32"/>
  <c r="N13" i="31"/>
  <c r="N13" i="32"/>
  <c r="Z13" i="33"/>
  <c r="K13" i="32"/>
  <c r="N12" i="33"/>
  <c r="W13" i="33"/>
  <c r="W14" i="31"/>
  <c r="Z14" i="31"/>
  <c r="W13" i="32"/>
  <c r="K12" i="33"/>
  <c r="K13" i="31"/>
  <c r="S14" i="33" l="1"/>
  <c r="G13" i="33"/>
  <c r="G14" i="32"/>
  <c r="S15" i="31"/>
  <c r="G14" i="31"/>
  <c r="T14" i="32"/>
  <c r="S15" i="32" s="1"/>
  <c r="W14" i="32"/>
  <c r="Z14" i="32"/>
  <c r="T15" i="32" l="1"/>
  <c r="S16" i="32" s="1"/>
  <c r="H13" i="33"/>
  <c r="H14" i="31"/>
  <c r="T15" i="31"/>
  <c r="H14" i="32"/>
  <c r="T14" i="33"/>
  <c r="N14" i="32"/>
  <c r="W15" i="31"/>
  <c r="Z15" i="31"/>
  <c r="Z15" i="32"/>
  <c r="W14" i="33"/>
  <c r="K13" i="33"/>
  <c r="K14" i="31"/>
  <c r="Z14" i="33"/>
  <c r="N14" i="31"/>
  <c r="W15" i="32"/>
  <c r="K14" i="32"/>
  <c r="N13" i="33"/>
  <c r="S15" i="33" l="1"/>
  <c r="G14" i="33"/>
  <c r="S16" i="31"/>
  <c r="G15" i="31"/>
  <c r="G15" i="32"/>
  <c r="T16" i="32"/>
  <c r="S17" i="32" s="1"/>
  <c r="Z16" i="32"/>
  <c r="W16" i="32"/>
  <c r="T17" i="32" l="1"/>
  <c r="S18" i="32" s="1"/>
  <c r="H15" i="32"/>
  <c r="G16" i="32" s="1"/>
  <c r="H14" i="33"/>
  <c r="H15" i="31"/>
  <c r="G16" i="31" s="1"/>
  <c r="T16" i="31"/>
  <c r="S17" i="31" s="1"/>
  <c r="T15" i="33"/>
  <c r="S16" i="33" s="1"/>
  <c r="Z17" i="32"/>
  <c r="N14" i="33"/>
  <c r="W17" i="32"/>
  <c r="Z15" i="33"/>
  <c r="K15" i="31"/>
  <c r="K15" i="32"/>
  <c r="N15" i="31"/>
  <c r="Z16" i="31"/>
  <c r="W16" i="31"/>
  <c r="W15" i="33"/>
  <c r="K14" i="33"/>
  <c r="N15" i="32"/>
  <c r="H16" i="31" l="1"/>
  <c r="G15" i="33"/>
  <c r="T16" i="33"/>
  <c r="S17" i="33" s="1"/>
  <c r="H16" i="32"/>
  <c r="G17" i="32" s="1"/>
  <c r="T18" i="32"/>
  <c r="S19" i="32" s="1"/>
  <c r="T17" i="31"/>
  <c r="S18" i="31" s="1"/>
  <c r="W17" i="31"/>
  <c r="K16" i="32"/>
  <c r="Z17" i="31"/>
  <c r="N16" i="32"/>
  <c r="Z18" i="32"/>
  <c r="K16" i="31"/>
  <c r="N16" i="31"/>
  <c r="W16" i="33"/>
  <c r="Z16" i="33"/>
  <c r="W18" i="32"/>
  <c r="T19" i="32" l="1"/>
  <c r="H17" i="32"/>
  <c r="G18" i="32" s="1"/>
  <c r="H15" i="33"/>
  <c r="T18" i="31"/>
  <c r="T17" i="33"/>
  <c r="G17" i="31"/>
  <c r="Z17" i="33"/>
  <c r="Z18" i="31"/>
  <c r="N15" i="33"/>
  <c r="W17" i="33"/>
  <c r="W18" i="31"/>
  <c r="K17" i="32"/>
  <c r="Z19" i="32"/>
  <c r="N17" i="32"/>
  <c r="K15" i="33"/>
  <c r="W19" i="32"/>
  <c r="G16" i="33" l="1"/>
  <c r="H18" i="32"/>
  <c r="G19" i="32" s="1"/>
  <c r="S19" i="31"/>
  <c r="H17" i="31"/>
  <c r="G18" i="31" s="1"/>
  <c r="S18" i="33"/>
  <c r="S20" i="32"/>
  <c r="N17" i="31"/>
  <c r="K17" i="31"/>
  <c r="K18" i="32"/>
  <c r="N18" i="32"/>
  <c r="T18" i="33" l="1"/>
  <c r="H18" i="31"/>
  <c r="T19" i="31"/>
  <c r="S20" i="31" s="1"/>
  <c r="H19" i="32"/>
  <c r="T20" i="32"/>
  <c r="H16" i="33"/>
  <c r="N16" i="33"/>
  <c r="K19" i="32"/>
  <c r="W19" i="31"/>
  <c r="N19" i="32"/>
  <c r="Z20" i="32"/>
  <c r="K16" i="33"/>
  <c r="Z18" i="33"/>
  <c r="W18" i="33"/>
  <c r="K18" i="31"/>
  <c r="W20" i="32"/>
  <c r="Z19" i="31"/>
  <c r="N18" i="31"/>
  <c r="G20" i="32" l="1"/>
  <c r="G17" i="33"/>
  <c r="G19" i="31"/>
  <c r="T20" i="31"/>
  <c r="S21" i="32"/>
  <c r="S19" i="33"/>
  <c r="Z20" i="31"/>
  <c r="W20" i="31"/>
  <c r="T19" i="33" l="1"/>
  <c r="H17" i="33"/>
  <c r="G18" i="33" s="1"/>
  <c r="T21" i="32"/>
  <c r="S21" i="31"/>
  <c r="H19" i="31"/>
  <c r="G20" i="31" s="1"/>
  <c r="H20" i="32"/>
  <c r="K17" i="33"/>
  <c r="K20" i="32"/>
  <c r="N17" i="33"/>
  <c r="W19" i="33"/>
  <c r="Z21" i="32"/>
  <c r="Z19" i="33"/>
  <c r="W21" i="32"/>
  <c r="N20" i="32"/>
  <c r="K19" i="31"/>
  <c r="N19" i="31"/>
  <c r="T21" i="31" l="1"/>
  <c r="S22" i="31" s="1"/>
  <c r="H18" i="33"/>
  <c r="G19" i="33" s="1"/>
  <c r="S22" i="32"/>
  <c r="G21" i="32"/>
  <c r="H20" i="31"/>
  <c r="S20" i="33"/>
  <c r="W21" i="31"/>
  <c r="K20" i="31"/>
  <c r="Z21" i="31"/>
  <c r="N18" i="33"/>
  <c r="N20" i="31"/>
  <c r="K18" i="33"/>
  <c r="T20" i="33" l="1"/>
  <c r="S21" i="33" s="1"/>
  <c r="H21" i="32"/>
  <c r="G22" i="32" s="1"/>
  <c r="T22" i="31"/>
  <c r="S23" i="31" s="1"/>
  <c r="G21" i="31"/>
  <c r="T22" i="32"/>
  <c r="H19" i="33"/>
  <c r="K21" i="32"/>
  <c r="N21" i="32"/>
  <c r="W20" i="33"/>
  <c r="W22" i="32"/>
  <c r="K19" i="33"/>
  <c r="Z22" i="32"/>
  <c r="W22" i="31"/>
  <c r="N19" i="33"/>
  <c r="Z22" i="31"/>
  <c r="Z20" i="33"/>
  <c r="H22" i="32" l="1"/>
  <c r="G23" i="32" s="1"/>
  <c r="S23" i="32"/>
  <c r="T23" i="31"/>
  <c r="G20" i="33"/>
  <c r="T21" i="33"/>
  <c r="H21" i="31"/>
  <c r="G22" i="31" s="1"/>
  <c r="K22" i="32"/>
  <c r="N22" i="32"/>
  <c r="W21" i="33"/>
  <c r="Z23" i="31"/>
  <c r="K21" i="31"/>
  <c r="N21" i="31"/>
  <c r="W23" i="31"/>
  <c r="Z21" i="33"/>
  <c r="S22" i="33" l="1"/>
  <c r="S24" i="31"/>
  <c r="T23" i="32"/>
  <c r="H20" i="33"/>
  <c r="G21" i="33" s="1"/>
  <c r="H23" i="32"/>
  <c r="G24" i="32" s="1"/>
  <c r="H22" i="31"/>
  <c r="K20" i="33"/>
  <c r="N23" i="32"/>
  <c r="W23" i="32"/>
  <c r="K22" i="31"/>
  <c r="N20" i="33"/>
  <c r="Z23" i="32"/>
  <c r="K23" i="32"/>
  <c r="N22" i="31"/>
  <c r="H21" i="33" l="1"/>
  <c r="G22" i="33" s="1"/>
  <c r="H24" i="32"/>
  <c r="G25" i="32" s="1"/>
  <c r="T24" i="31"/>
  <c r="S24" i="32"/>
  <c r="G23" i="31"/>
  <c r="T22" i="33"/>
  <c r="S23" i="33" s="1"/>
  <c r="Z22" i="33"/>
  <c r="N21" i="33"/>
  <c r="W24" i="31"/>
  <c r="Z24" i="31"/>
  <c r="K24" i="32"/>
  <c r="W22" i="33"/>
  <c r="N24" i="32"/>
  <c r="K21" i="33"/>
  <c r="T24" i="32" l="1"/>
  <c r="H25" i="32"/>
  <c r="H23" i="31"/>
  <c r="S25" i="31"/>
  <c r="H22" i="33"/>
  <c r="G23" i="33" s="1"/>
  <c r="T23" i="33"/>
  <c r="S24" i="33" s="1"/>
  <c r="N23" i="31"/>
  <c r="K23" i="31"/>
  <c r="W23" i="33"/>
  <c r="Z23" i="33"/>
  <c r="W24" i="32"/>
  <c r="N25" i="32"/>
  <c r="N22" i="33"/>
  <c r="K22" i="33"/>
  <c r="K25" i="32"/>
  <c r="Z24" i="32"/>
  <c r="G26" i="32" l="1"/>
  <c r="G24" i="31"/>
  <c r="T24" i="33"/>
  <c r="H23" i="33"/>
  <c r="G24" i="33" s="1"/>
  <c r="T25" i="31"/>
  <c r="S26" i="31" s="1"/>
  <c r="S25" i="32"/>
  <c r="W25" i="31"/>
  <c r="N23" i="33"/>
  <c r="W24" i="33"/>
  <c r="Z25" i="31"/>
  <c r="Z24" i="33"/>
  <c r="K23" i="33"/>
  <c r="T25" i="32" l="1"/>
  <c r="S26" i="32" s="1"/>
  <c r="H24" i="33"/>
  <c r="G25" i="33" s="1"/>
  <c r="H24" i="31"/>
  <c r="G25" i="31" s="1"/>
  <c r="T26" i="31"/>
  <c r="S27" i="31" s="1"/>
  <c r="S25" i="33"/>
  <c r="H26" i="32"/>
  <c r="G27" i="32" s="1"/>
  <c r="W25" i="32"/>
  <c r="N26" i="32"/>
  <c r="K24" i="33"/>
  <c r="N24" i="33"/>
  <c r="Z26" i="31"/>
  <c r="K26" i="32"/>
  <c r="W26" i="31"/>
  <c r="N24" i="31"/>
  <c r="K24" i="31"/>
  <c r="Z25" i="32"/>
  <c r="H25" i="33" l="1"/>
  <c r="G26" i="33" s="1"/>
  <c r="T27" i="31"/>
  <c r="H25" i="31"/>
  <c r="T26" i="32"/>
  <c r="S27" i="32" s="1"/>
  <c r="H27" i="32"/>
  <c r="T25" i="33"/>
  <c r="Z27" i="31"/>
  <c r="W26" i="32"/>
  <c r="K25" i="31"/>
  <c r="K25" i="33"/>
  <c r="N25" i="31"/>
  <c r="N27" i="32"/>
  <c r="N25" i="33"/>
  <c r="W25" i="33"/>
  <c r="Z25" i="33"/>
  <c r="Z26" i="32"/>
  <c r="K27" i="32"/>
  <c r="W27" i="31"/>
  <c r="T27" i="32" l="1"/>
  <c r="S28" i="32" s="1"/>
  <c r="S26" i="33"/>
  <c r="S28" i="31"/>
  <c r="G26" i="31"/>
  <c r="G28" i="32"/>
  <c r="H26" i="33"/>
  <c r="G27" i="33" s="1"/>
  <c r="W27" i="32"/>
  <c r="N26" i="33"/>
  <c r="Z27" i="32"/>
  <c r="K26" i="33"/>
  <c r="H27" i="33" l="1"/>
  <c r="G28" i="33" s="1"/>
  <c r="H26" i="31"/>
  <c r="T26" i="33"/>
  <c r="T28" i="32"/>
  <c r="H28" i="32"/>
  <c r="G29" i="32" s="1"/>
  <c r="T28" i="31"/>
  <c r="S29" i="31" s="1"/>
  <c r="K26" i="31"/>
  <c r="K28" i="32"/>
  <c r="Z28" i="31"/>
  <c r="Z26" i="33"/>
  <c r="W28" i="31"/>
  <c r="N27" i="33"/>
  <c r="W26" i="33"/>
  <c r="N28" i="32"/>
  <c r="W28" i="32"/>
  <c r="Z28" i="32"/>
  <c r="K27" i="33"/>
  <c r="N26" i="31"/>
  <c r="G27" i="31" l="1"/>
  <c r="S29" i="32"/>
  <c r="T29" i="31"/>
  <c r="S30" i="31" s="1"/>
  <c r="H28" i="33"/>
  <c r="S27" i="33"/>
  <c r="H29" i="32"/>
  <c r="Z29" i="31"/>
  <c r="N29" i="32"/>
  <c r="K29" i="32"/>
  <c r="N28" i="33"/>
  <c r="W29" i="31"/>
  <c r="K28" i="33"/>
  <c r="T27" i="33" l="1"/>
  <c r="S28" i="33" s="1"/>
  <c r="G30" i="32"/>
  <c r="G29" i="33"/>
  <c r="T30" i="31"/>
  <c r="T29" i="32"/>
  <c r="S30" i="32" s="1"/>
  <c r="H27" i="31"/>
  <c r="G28" i="31" s="1"/>
  <c r="Z29" i="32"/>
  <c r="K27" i="31"/>
  <c r="Z30" i="31"/>
  <c r="W30" i="31"/>
  <c r="N27" i="31"/>
  <c r="W27" i="33"/>
  <c r="W29" i="32"/>
  <c r="Z27" i="33"/>
  <c r="H28" i="31" l="1"/>
  <c r="G29" i="31" s="1"/>
  <c r="T30" i="32"/>
  <c r="S31" i="32" s="1"/>
  <c r="H29" i="33"/>
  <c r="G30" i="33" s="1"/>
  <c r="S31" i="31"/>
  <c r="H30" i="32"/>
  <c r="T28" i="33"/>
  <c r="S29" i="33" s="1"/>
  <c r="N29" i="33"/>
  <c r="W28" i="33"/>
  <c r="Z30" i="32"/>
  <c r="K28" i="31"/>
  <c r="W30" i="32"/>
  <c r="N28" i="31"/>
  <c r="Z28" i="33"/>
  <c r="N30" i="32"/>
  <c r="K29" i="33"/>
  <c r="K30" i="32"/>
  <c r="T31" i="31" l="1"/>
  <c r="S32" i="31" s="1"/>
  <c r="G31" i="32"/>
  <c r="H30" i="33"/>
  <c r="G31" i="33" s="1"/>
  <c r="T29" i="33"/>
  <c r="H29" i="31"/>
  <c r="G30" i="31" s="1"/>
  <c r="T31" i="32"/>
  <c r="S32" i="32" s="1"/>
  <c r="K30" i="33"/>
  <c r="N30" i="33"/>
  <c r="N29" i="31"/>
  <c r="Z31" i="32"/>
  <c r="W29" i="33"/>
  <c r="Z29" i="33"/>
  <c r="Z31" i="31"/>
  <c r="W31" i="32"/>
  <c r="W31" i="31"/>
  <c r="K29" i="31"/>
  <c r="H31" i="32" l="1"/>
  <c r="T32" i="32"/>
  <c r="H30" i="31"/>
  <c r="G31" i="31" s="1"/>
  <c r="S30" i="33"/>
  <c r="H31" i="33"/>
  <c r="G32" i="33" s="1"/>
  <c r="T32" i="31"/>
  <c r="Z32" i="32"/>
  <c r="W32" i="32"/>
  <c r="N31" i="32"/>
  <c r="K30" i="31"/>
  <c r="Z32" i="31"/>
  <c r="N31" i="33"/>
  <c r="W32" i="31"/>
  <c r="N30" i="31"/>
  <c r="K31" i="32"/>
  <c r="K31" i="33"/>
  <c r="H32" i="33" l="1"/>
  <c r="G33" i="33" s="1"/>
  <c r="S33" i="32"/>
  <c r="T30" i="33"/>
  <c r="H31" i="31"/>
  <c r="G32" i="31" s="1"/>
  <c r="S33" i="31"/>
  <c r="G32" i="32"/>
  <c r="N31" i="31"/>
  <c r="Z30" i="33"/>
  <c r="K31" i="31"/>
  <c r="N32" i="33"/>
  <c r="K32" i="33"/>
  <c r="W30" i="33"/>
  <c r="T33" i="31" l="1"/>
  <c r="S34" i="31" s="1"/>
  <c r="H32" i="31"/>
  <c r="S31" i="33"/>
  <c r="H33" i="33"/>
  <c r="H32" i="32"/>
  <c r="G33" i="32" s="1"/>
  <c r="T33" i="32"/>
  <c r="W33" i="31"/>
  <c r="Z33" i="32"/>
  <c r="N32" i="32"/>
  <c r="K32" i="31"/>
  <c r="K32" i="32"/>
  <c r="N32" i="31"/>
  <c r="Z33" i="31"/>
  <c r="N33" i="33"/>
  <c r="K33" i="33"/>
  <c r="W33" i="32"/>
  <c r="H33" i="32" l="1"/>
  <c r="G34" i="32" s="1"/>
  <c r="G33" i="31"/>
  <c r="S34" i="32"/>
  <c r="T34" i="31"/>
  <c r="S35" i="31" s="1"/>
  <c r="G34" i="33"/>
  <c r="T31" i="33"/>
  <c r="S32" i="33" s="1"/>
  <c r="N33" i="32"/>
  <c r="W31" i="33"/>
  <c r="Z34" i="31"/>
  <c r="K33" i="32"/>
  <c r="Z31" i="33"/>
  <c r="W34" i="31"/>
  <c r="H33" i="31" l="1"/>
  <c r="T32" i="33"/>
  <c r="T34" i="32"/>
  <c r="S35" i="32" s="1"/>
  <c r="H34" i="32"/>
  <c r="H34" i="33"/>
  <c r="T35" i="31"/>
  <c r="N33" i="31"/>
  <c r="Z34" i="32"/>
  <c r="K34" i="33"/>
  <c r="W32" i="33"/>
  <c r="N34" i="33"/>
  <c r="W35" i="31"/>
  <c r="Z32" i="33"/>
  <c r="W34" i="32"/>
  <c r="N34" i="32"/>
  <c r="K34" i="32"/>
  <c r="Z35" i="31"/>
  <c r="K33" i="31"/>
  <c r="T35" i="32" l="1"/>
  <c r="S36" i="32" s="1"/>
  <c r="S33" i="33"/>
  <c r="S36" i="31"/>
  <c r="G35" i="32"/>
  <c r="G35" i="33"/>
  <c r="G34" i="31"/>
  <c r="W35" i="32"/>
  <c r="Z35" i="32"/>
  <c r="H35" i="33" l="1"/>
  <c r="H34" i="31"/>
  <c r="T36" i="31"/>
  <c r="T33" i="33"/>
  <c r="T36" i="32"/>
  <c r="S37" i="32" s="1"/>
  <c r="H35" i="32"/>
  <c r="G36" i="32" s="1"/>
  <c r="Z33" i="33"/>
  <c r="Z36" i="32"/>
  <c r="N34" i="31"/>
  <c r="K35" i="33"/>
  <c r="W36" i="31"/>
  <c r="K35" i="32"/>
  <c r="N35" i="32"/>
  <c r="K34" i="31"/>
  <c r="Z36" i="31"/>
  <c r="N35" i="33"/>
  <c r="W33" i="33"/>
  <c r="W36" i="32"/>
  <c r="G35" i="31" l="1"/>
  <c r="H36" i="32"/>
  <c r="G37" i="32" s="1"/>
  <c r="S34" i="33"/>
  <c r="S37" i="31"/>
  <c r="T37" i="32"/>
  <c r="G36" i="33"/>
  <c r="W37" i="32"/>
  <c r="K36" i="32"/>
  <c r="N36" i="32"/>
  <c r="Z37" i="32"/>
  <c r="T37" i="31" l="1"/>
  <c r="S38" i="31" s="1"/>
  <c r="T34" i="33"/>
  <c r="H37" i="32"/>
  <c r="H36" i="33"/>
  <c r="S38" i="32"/>
  <c r="H35" i="31"/>
  <c r="G36" i="31" s="1"/>
  <c r="Z34" i="33"/>
  <c r="K37" i="32"/>
  <c r="N37" i="32"/>
  <c r="Z37" i="31"/>
  <c r="W37" i="31"/>
  <c r="N35" i="31"/>
  <c r="K36" i="33"/>
  <c r="W34" i="33"/>
  <c r="K35" i="31"/>
  <c r="N36" i="33"/>
  <c r="G38" i="32" l="1"/>
  <c r="S35" i="33"/>
  <c r="T38" i="31"/>
  <c r="S39" i="31" s="1"/>
  <c r="G37" i="33"/>
  <c r="H36" i="31"/>
  <c r="T38" i="32"/>
  <c r="S39" i="32" s="1"/>
  <c r="Z38" i="31"/>
  <c r="Z38" i="32"/>
  <c r="N36" i="31"/>
  <c r="W38" i="32"/>
  <c r="K36" i="31"/>
  <c r="W38" i="31"/>
  <c r="T39" i="32" l="1"/>
  <c r="G37" i="31"/>
  <c r="H37" i="33"/>
  <c r="G38" i="33" s="1"/>
  <c r="T39" i="31"/>
  <c r="T35" i="33"/>
  <c r="S36" i="33" s="1"/>
  <c r="H38" i="32"/>
  <c r="G39" i="32" s="1"/>
  <c r="N37" i="33"/>
  <c r="W35" i="33"/>
  <c r="N38" i="32"/>
  <c r="W39" i="31"/>
  <c r="Z39" i="31"/>
  <c r="K37" i="33"/>
  <c r="W39" i="32"/>
  <c r="K38" i="32"/>
  <c r="Z39" i="32"/>
  <c r="Z35" i="33"/>
  <c r="T36" i="33" l="1"/>
  <c r="H37" i="31"/>
  <c r="H39" i="32"/>
  <c r="S40" i="31"/>
  <c r="H38" i="33"/>
  <c r="G39" i="33" s="1"/>
  <c r="S40" i="32"/>
  <c r="K38" i="33"/>
  <c r="W36" i="33"/>
  <c r="N39" i="32"/>
  <c r="N38" i="33"/>
  <c r="N37" i="31"/>
  <c r="K37" i="31"/>
  <c r="K39" i="32"/>
  <c r="Z36" i="33"/>
  <c r="G38" i="31" l="1"/>
  <c r="H39" i="33"/>
  <c r="G40" i="33" s="1"/>
  <c r="T40" i="31"/>
  <c r="S41" i="31" s="1"/>
  <c r="G40" i="32"/>
  <c r="T40" i="32"/>
  <c r="S37" i="33"/>
  <c r="Z40" i="32"/>
  <c r="W40" i="32"/>
  <c r="N39" i="33"/>
  <c r="Z40" i="31"/>
  <c r="K39" i="33"/>
  <c r="W40" i="31"/>
  <c r="T37" i="33" l="1"/>
  <c r="S38" i="33" s="1"/>
  <c r="H40" i="32"/>
  <c r="G41" i="32" s="1"/>
  <c r="S41" i="32"/>
  <c r="T41" i="31"/>
  <c r="H40" i="33"/>
  <c r="H38" i="31"/>
  <c r="G39" i="31" s="1"/>
  <c r="Z37" i="33"/>
  <c r="N40" i="33"/>
  <c r="W41" i="31"/>
  <c r="W37" i="33"/>
  <c r="Z41" i="31"/>
  <c r="K40" i="33"/>
  <c r="K40" i="32"/>
  <c r="N40" i="32"/>
  <c r="K38" i="31"/>
  <c r="N38" i="31"/>
  <c r="S42" i="31" l="1"/>
  <c r="H41" i="32"/>
  <c r="G41" i="33"/>
  <c r="T41" i="32"/>
  <c r="H39" i="31"/>
  <c r="G40" i="31" s="1"/>
  <c r="T38" i="33"/>
  <c r="S39" i="33" s="1"/>
  <c r="N41" i="32"/>
  <c r="K39" i="31"/>
  <c r="Z38" i="33"/>
  <c r="W41" i="32"/>
  <c r="Z41" i="32"/>
  <c r="W38" i="33"/>
  <c r="N39" i="31"/>
  <c r="K41" i="32"/>
  <c r="T39" i="33" l="1"/>
  <c r="H40" i="31"/>
  <c r="S42" i="32"/>
  <c r="H41" i="33"/>
  <c r="G42" i="33" s="1"/>
  <c r="G42" i="32"/>
  <c r="T42" i="31"/>
  <c r="K41" i="33"/>
  <c r="N41" i="33"/>
  <c r="K40" i="31"/>
  <c r="Z42" i="31"/>
  <c r="W42" i="31"/>
  <c r="N40" i="31"/>
  <c r="Z39" i="33"/>
  <c r="W39" i="33"/>
  <c r="H42" i="32" l="1"/>
  <c r="G41" i="31"/>
  <c r="H42" i="33"/>
  <c r="T42" i="32"/>
  <c r="S43" i="31"/>
  <c r="S40" i="33"/>
  <c r="W42" i="32"/>
  <c r="N42" i="32"/>
  <c r="Z42" i="32"/>
  <c r="K42" i="32"/>
  <c r="N42" i="33"/>
  <c r="K42" i="33"/>
  <c r="T40" i="33" l="1"/>
  <c r="S41" i="33" s="1"/>
  <c r="T43" i="31"/>
  <c r="S44" i="31" s="1"/>
  <c r="S43" i="32"/>
  <c r="G43" i="33"/>
  <c r="H41" i="31"/>
  <c r="G43" i="32"/>
  <c r="Z43" i="31"/>
  <c r="Z40" i="33"/>
  <c r="K41" i="31"/>
  <c r="N41" i="31"/>
  <c r="W40" i="33"/>
  <c r="W43" i="31"/>
  <c r="T43" i="32" l="1"/>
  <c r="H43" i="32"/>
  <c r="G44" i="32" s="1"/>
  <c r="H43" i="33"/>
  <c r="T44" i="31"/>
  <c r="G42" i="31"/>
  <c r="T41" i="33"/>
  <c r="S42" i="33" s="1"/>
  <c r="N43" i="32"/>
  <c r="W43" i="32"/>
  <c r="Z41" i="33"/>
  <c r="Z43" i="32"/>
  <c r="N43" i="33"/>
  <c r="K43" i="32"/>
  <c r="K43" i="33"/>
  <c r="W44" i="31"/>
  <c r="W41" i="33"/>
  <c r="Z44" i="31"/>
  <c r="G44" i="33" l="1"/>
  <c r="H44" i="32"/>
  <c r="S45" i="31"/>
  <c r="T42" i="33"/>
  <c r="S43" i="33" s="1"/>
  <c r="H42" i="31"/>
  <c r="S44" i="32"/>
  <c r="Z42" i="33"/>
  <c r="N42" i="31"/>
  <c r="N44" i="32"/>
  <c r="W42" i="33"/>
  <c r="K42" i="31"/>
  <c r="K44" i="32"/>
  <c r="G43" i="31" l="1"/>
  <c r="T43" i="33"/>
  <c r="S44" i="33" s="1"/>
  <c r="T45" i="31"/>
  <c r="S46" i="31" s="1"/>
  <c r="T44" i="32"/>
  <c r="G45" i="32"/>
  <c r="H44" i="33"/>
  <c r="G45" i="33" s="1"/>
  <c r="K44" i="33"/>
  <c r="W43" i="33"/>
  <c r="Z44" i="32"/>
  <c r="N44" i="33"/>
  <c r="Z43" i="33"/>
  <c r="W44" i="32"/>
  <c r="Z45" i="31"/>
  <c r="W45" i="31"/>
  <c r="S45" i="32" l="1"/>
  <c r="T46" i="31"/>
  <c r="S47" i="31" s="1"/>
  <c r="H45" i="33"/>
  <c r="G46" i="33" s="1"/>
  <c r="H45" i="32"/>
  <c r="T44" i="33"/>
  <c r="H43" i="31"/>
  <c r="G44" i="31" s="1"/>
  <c r="W44" i="33"/>
  <c r="K45" i="32"/>
  <c r="N45" i="33"/>
  <c r="K45" i="33"/>
  <c r="Z46" i="31"/>
  <c r="K43" i="31"/>
  <c r="N45" i="32"/>
  <c r="Z44" i="33"/>
  <c r="W46" i="31"/>
  <c r="N43" i="31"/>
  <c r="H46" i="33" l="1"/>
  <c r="G47" i="33" s="1"/>
  <c r="G46" i="32"/>
  <c r="T47" i="31"/>
  <c r="S48" i="31" s="1"/>
  <c r="S45" i="33"/>
  <c r="H44" i="31"/>
  <c r="T45" i="32"/>
  <c r="K44" i="31"/>
  <c r="K46" i="33"/>
  <c r="Z47" i="31"/>
  <c r="W45" i="32"/>
  <c r="Z45" i="32"/>
  <c r="W47" i="31"/>
  <c r="N46" i="33"/>
  <c r="N44" i="31"/>
  <c r="G45" i="31" l="1"/>
  <c r="H46" i="32"/>
  <c r="T45" i="33"/>
  <c r="S46" i="33" s="1"/>
  <c r="T48" i="31"/>
  <c r="S46" i="32"/>
  <c r="H47" i="33"/>
  <c r="G48" i="33" s="1"/>
  <c r="Z48" i="31"/>
  <c r="K47" i="33"/>
  <c r="Z45" i="33"/>
  <c r="K46" i="32"/>
  <c r="N46" i="32"/>
  <c r="W48" i="31"/>
  <c r="W45" i="33"/>
  <c r="N47" i="33"/>
  <c r="H48" i="33" l="1"/>
  <c r="G49" i="33" s="1"/>
  <c r="G47" i="32"/>
  <c r="T46" i="32"/>
  <c r="S49" i="31"/>
  <c r="T46" i="33"/>
  <c r="S47" i="33" s="1"/>
  <c r="H45" i="31"/>
  <c r="W46" i="33"/>
  <c r="K48" i="33"/>
  <c r="N48" i="33"/>
  <c r="K45" i="31"/>
  <c r="W46" i="32"/>
  <c r="N45" i="31"/>
  <c r="Z46" i="33"/>
  <c r="Z46" i="32"/>
  <c r="T49" i="31" l="1"/>
  <c r="S50" i="31" s="1"/>
  <c r="S47" i="32"/>
  <c r="H47" i="32"/>
  <c r="G48" i="32" s="1"/>
  <c r="T47" i="33"/>
  <c r="S48" i="33" s="1"/>
  <c r="H49" i="33"/>
  <c r="G50" i="33" s="1"/>
  <c r="G46" i="31"/>
  <c r="N47" i="32"/>
  <c r="W47" i="33"/>
  <c r="Z49" i="31"/>
  <c r="W49" i="31"/>
  <c r="K49" i="33"/>
  <c r="K47" i="32"/>
  <c r="N49" i="33"/>
  <c r="Z47" i="33"/>
  <c r="H50" i="33" l="1"/>
  <c r="H48" i="32"/>
  <c r="G49" i="32" s="1"/>
  <c r="T48" i="33"/>
  <c r="T47" i="32"/>
  <c r="H46" i="31"/>
  <c r="T50" i="31"/>
  <c r="Z48" i="33"/>
  <c r="N50" i="33"/>
  <c r="N48" i="32"/>
  <c r="N46" i="31"/>
  <c r="K48" i="32"/>
  <c r="K50" i="33"/>
  <c r="W47" i="32"/>
  <c r="Z47" i="32"/>
  <c r="Z50" i="31"/>
  <c r="K46" i="31"/>
  <c r="W48" i="33"/>
  <c r="W50" i="31"/>
  <c r="H49" i="32" l="1"/>
  <c r="G50" i="32" s="1"/>
  <c r="S49" i="33"/>
  <c r="S51" i="31"/>
  <c r="S48" i="32"/>
  <c r="G47" i="31"/>
  <c r="G51" i="33"/>
  <c r="N49" i="32"/>
  <c r="K49" i="32"/>
  <c r="H51" i="33" l="1"/>
  <c r="G52" i="33" s="1"/>
  <c r="T48" i="32"/>
  <c r="S49" i="32" s="1"/>
  <c r="T51" i="31"/>
  <c r="T49" i="33"/>
  <c r="S50" i="33" s="1"/>
  <c r="H50" i="32"/>
  <c r="H47" i="31"/>
  <c r="G48" i="31" s="1"/>
  <c r="K47" i="31"/>
  <c r="W51" i="31"/>
  <c r="W49" i="33"/>
  <c r="K51" i="33"/>
  <c r="K50" i="32"/>
  <c r="N50" i="32"/>
  <c r="N51" i="33"/>
  <c r="Z51" i="31"/>
  <c r="W48" i="32"/>
  <c r="Z48" i="32"/>
  <c r="N47" i="31"/>
  <c r="Z49" i="33"/>
  <c r="T50" i="33" l="1"/>
  <c r="S51" i="33" s="1"/>
  <c r="T49" i="32"/>
  <c r="S50" i="32" s="1"/>
  <c r="H48" i="31"/>
  <c r="G49" i="31" s="1"/>
  <c r="G51" i="32"/>
  <c r="H52" i="33"/>
  <c r="S52" i="31"/>
  <c r="W50" i="33"/>
  <c r="N52" i="33"/>
  <c r="Z50" i="33"/>
  <c r="N48" i="31"/>
  <c r="K48" i="31"/>
  <c r="Z49" i="32"/>
  <c r="W49" i="32"/>
  <c r="K52" i="33"/>
  <c r="T50" i="32" l="1"/>
  <c r="S51" i="32" s="1"/>
  <c r="H51" i="32"/>
  <c r="G52" i="32" s="1"/>
  <c r="H49" i="31"/>
  <c r="G50" i="31" s="1"/>
  <c r="G53" i="33"/>
  <c r="T52" i="31"/>
  <c r="S53" i="31" s="1"/>
  <c r="T51" i="33"/>
  <c r="Z51" i="33"/>
  <c r="N49" i="31"/>
  <c r="Z50" i="32"/>
  <c r="Z52" i="31"/>
  <c r="W50" i="32"/>
  <c r="W52" i="31"/>
  <c r="W51" i="33"/>
  <c r="N51" i="32"/>
  <c r="K51" i="32"/>
  <c r="K49" i="31"/>
  <c r="H50" i="31" l="1"/>
  <c r="G51" i="31" s="1"/>
  <c r="H52" i="32"/>
  <c r="T53" i="31"/>
  <c r="H53" i="33"/>
  <c r="S52" i="33"/>
  <c r="T51" i="32"/>
  <c r="S52" i="32" s="1"/>
  <c r="K50" i="31"/>
  <c r="N52" i="32"/>
  <c r="W51" i="32"/>
  <c r="Z51" i="32"/>
  <c r="N53" i="33"/>
  <c r="N50" i="31"/>
  <c r="W53" i="31"/>
  <c r="K53" i="33"/>
  <c r="Z53" i="31"/>
  <c r="K52" i="32"/>
  <c r="G53" i="32" l="1"/>
  <c r="G54" i="33"/>
  <c r="H51" i="31"/>
  <c r="G52" i="31" s="1"/>
  <c r="S54" i="31"/>
  <c r="T52" i="32"/>
  <c r="S53" i="32" s="1"/>
  <c r="T52" i="33"/>
  <c r="S53" i="33" s="1"/>
  <c r="Z52" i="32"/>
  <c r="Z52" i="33"/>
  <c r="W52" i="32"/>
  <c r="N51" i="31"/>
  <c r="K51" i="31"/>
  <c r="W52" i="33"/>
  <c r="T53" i="32" l="1"/>
  <c r="S54" i="32" s="1"/>
  <c r="T53" i="33"/>
  <c r="S54" i="33" s="1"/>
  <c r="T54" i="31"/>
  <c r="S55" i="31" s="1"/>
  <c r="H52" i="31"/>
  <c r="H54" i="33"/>
  <c r="H53" i="32"/>
  <c r="G54" i="32" s="1"/>
  <c r="N54" i="33"/>
  <c r="K54" i="33"/>
  <c r="W53" i="32"/>
  <c r="K53" i="32"/>
  <c r="Z53" i="33"/>
  <c r="Z54" i="31"/>
  <c r="Z53" i="32"/>
  <c r="W54" i="31"/>
  <c r="N52" i="31"/>
  <c r="W53" i="33"/>
  <c r="N53" i="32"/>
  <c r="K52" i="31"/>
  <c r="H54" i="32" l="1"/>
  <c r="G55" i="32" s="1"/>
  <c r="T54" i="33"/>
  <c r="G53" i="31"/>
  <c r="T55" i="31"/>
  <c r="G55" i="33"/>
  <c r="T54" i="32"/>
  <c r="W54" i="32"/>
  <c r="W54" i="33"/>
  <c r="W55" i="31"/>
  <c r="Z54" i="33"/>
  <c r="N54" i="32"/>
  <c r="Z54" i="32"/>
  <c r="K54" i="32"/>
  <c r="Z55" i="31"/>
  <c r="S55" i="33" l="1"/>
  <c r="H55" i="33"/>
  <c r="S56" i="31"/>
  <c r="H55" i="32"/>
  <c r="G56" i="32" s="1"/>
  <c r="H53" i="31"/>
  <c r="S55" i="32"/>
  <c r="N53" i="31"/>
  <c r="N55" i="33"/>
  <c r="K53" i="31"/>
  <c r="N55" i="32"/>
  <c r="K55" i="32"/>
  <c r="K55" i="33"/>
  <c r="G54" i="31" l="1"/>
  <c r="H56" i="32"/>
  <c r="T56" i="31"/>
  <c r="S57" i="31" s="1"/>
  <c r="T55" i="32"/>
  <c r="S56" i="32" s="1"/>
  <c r="G56" i="33"/>
  <c r="T55" i="33"/>
  <c r="W55" i="33"/>
  <c r="Z55" i="33"/>
  <c r="K56" i="32"/>
  <c r="N56" i="32"/>
  <c r="W55" i="32"/>
  <c r="Z56" i="31"/>
  <c r="Z55" i="32"/>
  <c r="W56" i="31"/>
  <c r="H56" i="33" l="1"/>
  <c r="G57" i="33" s="1"/>
  <c r="T57" i="31"/>
  <c r="G57" i="32"/>
  <c r="T56" i="32"/>
  <c r="S57" i="32" s="1"/>
  <c r="S56" i="33"/>
  <c r="H54" i="31"/>
  <c r="K54" i="31"/>
  <c r="K56" i="33"/>
  <c r="Z56" i="32"/>
  <c r="N56" i="33"/>
  <c r="W56" i="32"/>
  <c r="W57" i="31"/>
  <c r="Z57" i="31"/>
  <c r="N54" i="31"/>
  <c r="T56" i="33" l="1"/>
  <c r="T57" i="32"/>
  <c r="S58" i="32" s="1"/>
  <c r="H57" i="32"/>
  <c r="S58" i="31"/>
  <c r="H57" i="33"/>
  <c r="G55" i="31"/>
  <c r="W56" i="33"/>
  <c r="Z56" i="33"/>
  <c r="W57" i="32"/>
  <c r="N57" i="32"/>
  <c r="K57" i="33"/>
  <c r="N57" i="33"/>
  <c r="K57" i="32"/>
  <c r="Z57" i="32"/>
  <c r="G58" i="33" l="1"/>
  <c r="G58" i="32"/>
  <c r="T58" i="32"/>
  <c r="S59" i="32" s="1"/>
  <c r="T58" i="31"/>
  <c r="H55" i="31"/>
  <c r="S57" i="33"/>
  <c r="W58" i="32"/>
  <c r="K55" i="31"/>
  <c r="N55" i="31"/>
  <c r="Z58" i="32"/>
  <c r="Z58" i="31"/>
  <c r="W58" i="31"/>
  <c r="G56" i="31" l="1"/>
  <c r="T57" i="33"/>
  <c r="S58" i="33"/>
  <c r="S59" i="31"/>
  <c r="T59" i="32"/>
  <c r="S60" i="32" s="1"/>
  <c r="H58" i="32"/>
  <c r="G59" i="32" s="1"/>
  <c r="H58" i="33"/>
  <c r="N58" i="32"/>
  <c r="W57" i="33"/>
  <c r="Z59" i="32"/>
  <c r="N58" i="33"/>
  <c r="K58" i="32"/>
  <c r="W59" i="32"/>
  <c r="Z57" i="33"/>
  <c r="K58" i="33"/>
  <c r="H59" i="32" l="1"/>
  <c r="G60" i="32" s="1"/>
  <c r="T60" i="32"/>
  <c r="S61" i="32" s="1"/>
  <c r="T59" i="31"/>
  <c r="S60" i="31" s="1"/>
  <c r="T58" i="33"/>
  <c r="G59" i="33"/>
  <c r="H56" i="31"/>
  <c r="G57" i="31" s="1"/>
  <c r="Z58" i="33"/>
  <c r="N59" i="32"/>
  <c r="W60" i="32"/>
  <c r="Z60" i="32"/>
  <c r="Z59" i="31"/>
  <c r="K59" i="32"/>
  <c r="W59" i="31"/>
  <c r="N56" i="31"/>
  <c r="K56" i="31"/>
  <c r="W58" i="33"/>
  <c r="T61" i="32" l="1"/>
  <c r="S62" i="32" s="1"/>
  <c r="S59" i="33"/>
  <c r="T60" i="31"/>
  <c r="H57" i="31"/>
  <c r="H60" i="32"/>
  <c r="G61" i="32" s="1"/>
  <c r="H59" i="33"/>
  <c r="G60" i="33" s="1"/>
  <c r="Z60" i="31"/>
  <c r="N57" i="31"/>
  <c r="W60" i="31"/>
  <c r="K57" i="31"/>
  <c r="K59" i="33"/>
  <c r="Z61" i="32"/>
  <c r="K60" i="32"/>
  <c r="N60" i="32"/>
  <c r="N59" i="33"/>
  <c r="W61" i="32"/>
  <c r="S61" i="31" l="1"/>
  <c r="H61" i="32"/>
  <c r="G62" i="32" s="1"/>
  <c r="T59" i="33"/>
  <c r="S60" i="33" s="1"/>
  <c r="H60" i="33"/>
  <c r="G58" i="31"/>
  <c r="T62" i="32"/>
  <c r="N61" i="32"/>
  <c r="W59" i="33"/>
  <c r="K60" i="33"/>
  <c r="Z62" i="32"/>
  <c r="K61" i="32"/>
  <c r="W62" i="32"/>
  <c r="N60" i="33"/>
  <c r="Z59" i="33"/>
  <c r="H62" i="32" l="1"/>
  <c r="G63" i="32" s="1"/>
  <c r="G61" i="33"/>
  <c r="H58" i="31"/>
  <c r="T60" i="33"/>
  <c r="S61" i="33" s="1"/>
  <c r="S63" i="32"/>
  <c r="T61" i="31"/>
  <c r="K58" i="31"/>
  <c r="K62" i="32"/>
  <c r="N62" i="32"/>
  <c r="Z61" i="31"/>
  <c r="W60" i="33"/>
  <c r="W61" i="31"/>
  <c r="N58" i="31"/>
  <c r="Z60" i="33"/>
  <c r="G59" i="31" l="1"/>
  <c r="H61" i="33"/>
  <c r="T63" i="32"/>
  <c r="S64" i="32" s="1"/>
  <c r="T61" i="33"/>
  <c r="S62" i="33" s="1"/>
  <c r="H63" i="32"/>
  <c r="G64" i="32" s="1"/>
  <c r="S62" i="31"/>
  <c r="N63" i="32"/>
  <c r="N61" i="33"/>
  <c r="W63" i="32"/>
  <c r="Z61" i="33"/>
  <c r="K61" i="33"/>
  <c r="Z63" i="32"/>
  <c r="W61" i="33"/>
  <c r="K63" i="32"/>
  <c r="H64" i="32" l="1"/>
  <c r="G65" i="32" s="1"/>
  <c r="T62" i="31"/>
  <c r="S63" i="31" s="1"/>
  <c r="G62" i="33"/>
  <c r="T62" i="33"/>
  <c r="S63" i="33" s="1"/>
  <c r="T64" i="32"/>
  <c r="S65" i="32" s="1"/>
  <c r="H59" i="31"/>
  <c r="G60" i="31" s="1"/>
  <c r="N64" i="32"/>
  <c r="W62" i="33"/>
  <c r="K64" i="32"/>
  <c r="W62" i="31"/>
  <c r="N59" i="31"/>
  <c r="K59" i="31"/>
  <c r="Z62" i="31"/>
  <c r="Z64" i="32"/>
  <c r="Z62" i="33"/>
  <c r="W64" i="32"/>
  <c r="T63" i="31" l="1"/>
  <c r="S64" i="31" s="1"/>
  <c r="T65" i="32"/>
  <c r="S66" i="32" s="1"/>
  <c r="H60" i="31"/>
  <c r="H62" i="33"/>
  <c r="H65" i="32"/>
  <c r="G66" i="32" s="1"/>
  <c r="T63" i="33"/>
  <c r="Z63" i="33"/>
  <c r="Z65" i="32"/>
  <c r="Z63" i="31"/>
  <c r="N60" i="31"/>
  <c r="W65" i="32"/>
  <c r="N62" i="33"/>
  <c r="N65" i="32"/>
  <c r="K62" i="33"/>
  <c r="K65" i="32"/>
  <c r="W63" i="33"/>
  <c r="K60" i="31"/>
  <c r="W63" i="31"/>
  <c r="T66" i="32" l="1"/>
  <c r="S67" i="32" s="1"/>
  <c r="G63" i="33"/>
  <c r="G61" i="31"/>
  <c r="T64" i="31"/>
  <c r="S64" i="33"/>
  <c r="H66" i="32"/>
  <c r="W64" i="31"/>
  <c r="K66" i="32"/>
  <c r="N66" i="32"/>
  <c r="Z66" i="32"/>
  <c r="W66" i="32"/>
  <c r="Z64" i="31"/>
  <c r="T64" i="33" l="1"/>
  <c r="S65" i="31"/>
  <c r="G67" i="32"/>
  <c r="H61" i="31"/>
  <c r="G62" i="31" s="1"/>
  <c r="H63" i="33"/>
  <c r="G64" i="33" s="1"/>
  <c r="T67" i="32"/>
  <c r="N63" i="33"/>
  <c r="W67" i="32"/>
  <c r="K61" i="31"/>
  <c r="Z67" i="32"/>
  <c r="N61" i="31"/>
  <c r="Z64" i="33"/>
  <c r="W64" i="33"/>
  <c r="K63" i="33"/>
  <c r="H67" i="32" l="1"/>
  <c r="T65" i="31"/>
  <c r="S66" i="31" s="1"/>
  <c r="H64" i="33"/>
  <c r="G65" i="33" s="1"/>
  <c r="H62" i="31"/>
  <c r="G63" i="31" s="1"/>
  <c r="S68" i="32"/>
  <c r="S65" i="33"/>
  <c r="Z65" i="31"/>
  <c r="N67" i="32"/>
  <c r="N64" i="33"/>
  <c r="K67" i="32"/>
  <c r="W65" i="31"/>
  <c r="K62" i="31"/>
  <c r="K64" i="33"/>
  <c r="N62" i="31"/>
  <c r="H63" i="31" l="1"/>
  <c r="G64" i="31" s="1"/>
  <c r="T66" i="31"/>
  <c r="S67" i="31" s="1"/>
  <c r="H65" i="33"/>
  <c r="G66" i="33" s="1"/>
  <c r="T65" i="33"/>
  <c r="S66" i="33" s="1"/>
  <c r="T68" i="32"/>
  <c r="S69" i="32" s="1"/>
  <c r="G68" i="32"/>
  <c r="K63" i="31"/>
  <c r="N63" i="31"/>
  <c r="Z65" i="33"/>
  <c r="N65" i="33"/>
  <c r="W65" i="33"/>
  <c r="W66" i="31"/>
  <c r="W68" i="32"/>
  <c r="Z66" i="31"/>
  <c r="Z68" i="32"/>
  <c r="K65" i="33"/>
  <c r="T67" i="31" l="1"/>
  <c r="S68" i="31" s="1"/>
  <c r="T66" i="33"/>
  <c r="S67" i="33" s="1"/>
  <c r="H66" i="33"/>
  <c r="H64" i="31"/>
  <c r="H68" i="32"/>
  <c r="G69" i="32" s="1"/>
  <c r="T69" i="32"/>
  <c r="S70" i="32" s="1"/>
  <c r="Z67" i="31"/>
  <c r="K64" i="31"/>
  <c r="K66" i="33"/>
  <c r="N64" i="31"/>
  <c r="W66" i="33"/>
  <c r="Z66" i="33"/>
  <c r="W69" i="32"/>
  <c r="W67" i="31"/>
  <c r="N66" i="33"/>
  <c r="Z69" i="32"/>
  <c r="N68" i="32"/>
  <c r="K68" i="32"/>
  <c r="T67" i="33" l="1"/>
  <c r="S68" i="33" s="1"/>
  <c r="G65" i="31"/>
  <c r="G67" i="33"/>
  <c r="T70" i="32"/>
  <c r="T68" i="31"/>
  <c r="S69" i="31" s="1"/>
  <c r="H69" i="32"/>
  <c r="G70" i="32" s="1"/>
  <c r="K69" i="32"/>
  <c r="W67" i="33"/>
  <c r="N69" i="32"/>
  <c r="Z67" i="33"/>
  <c r="Z68" i="31"/>
  <c r="W68" i="31"/>
  <c r="Z70" i="32"/>
  <c r="W70" i="32"/>
  <c r="H70" i="32" l="1"/>
  <c r="G71" i="32" s="1"/>
  <c r="T69" i="31"/>
  <c r="S71" i="32"/>
  <c r="H67" i="33"/>
  <c r="H65" i="31"/>
  <c r="T68" i="33"/>
  <c r="N67" i="33"/>
  <c r="N70" i="32"/>
  <c r="W68" i="33"/>
  <c r="K65" i="31"/>
  <c r="W69" i="31"/>
  <c r="Z68" i="33"/>
  <c r="K67" i="33"/>
  <c r="Z69" i="31"/>
  <c r="K70" i="32"/>
  <c r="N65" i="31"/>
  <c r="G66" i="31" l="1"/>
  <c r="G68" i="33"/>
  <c r="S70" i="31"/>
  <c r="S69" i="33"/>
  <c r="H71" i="32"/>
  <c r="G72" i="32" s="1"/>
  <c r="T71" i="32"/>
  <c r="N71" i="32"/>
  <c r="W71" i="32"/>
  <c r="K71" i="32"/>
  <c r="Z71" i="32"/>
  <c r="S72" i="32" l="1"/>
  <c r="H72" i="32"/>
  <c r="G73" i="32" s="1"/>
  <c r="H68" i="33"/>
  <c r="T69" i="33"/>
  <c r="S70" i="33" s="1"/>
  <c r="T70" i="31"/>
  <c r="H66" i="31"/>
  <c r="G67" i="31" s="1"/>
  <c r="N72" i="32"/>
  <c r="K66" i="31"/>
  <c r="W70" i="31"/>
  <c r="N66" i="31"/>
  <c r="K68" i="33"/>
  <c r="K72" i="32"/>
  <c r="W69" i="33"/>
  <c r="Z70" i="31"/>
  <c r="N68" i="33"/>
  <c r="Z69" i="33"/>
  <c r="G69" i="33" l="1"/>
  <c r="S71" i="31"/>
  <c r="T70" i="33"/>
  <c r="H73" i="32"/>
  <c r="H67" i="31"/>
  <c r="T72" i="32"/>
  <c r="W72" i="32"/>
  <c r="K73" i="32"/>
  <c r="N67" i="31"/>
  <c r="K67" i="31"/>
  <c r="Z72" i="32"/>
  <c r="Z70" i="33"/>
  <c r="W70" i="33"/>
  <c r="N73" i="32"/>
  <c r="G68" i="31" l="1"/>
  <c r="G74" i="32"/>
  <c r="S71" i="33"/>
  <c r="T71" i="31"/>
  <c r="S72" i="31" s="1"/>
  <c r="S73" i="32"/>
  <c r="H69" i="33"/>
  <c r="G70" i="33" s="1"/>
  <c r="W71" i="31"/>
  <c r="N69" i="33"/>
  <c r="K69" i="33"/>
  <c r="Z71" i="31"/>
  <c r="H70" i="33" l="1"/>
  <c r="T73" i="32"/>
  <c r="S74" i="32" s="1"/>
  <c r="T72" i="31"/>
  <c r="S73" i="31" s="1"/>
  <c r="T71" i="33"/>
  <c r="H74" i="32"/>
  <c r="H68" i="31"/>
  <c r="N74" i="32"/>
  <c r="W72" i="31"/>
  <c r="W71" i="33"/>
  <c r="K74" i="32"/>
  <c r="K68" i="31"/>
  <c r="Z71" i="33"/>
  <c r="K70" i="33"/>
  <c r="Z73" i="32"/>
  <c r="W73" i="32"/>
  <c r="Z72" i="31"/>
  <c r="N68" i="31"/>
  <c r="N70" i="33"/>
  <c r="T74" i="32" l="1"/>
  <c r="S75" i="32" s="1"/>
  <c r="S72" i="33"/>
  <c r="T73" i="31"/>
  <c r="S74" i="31" s="1"/>
  <c r="G69" i="31"/>
  <c r="G75" i="32"/>
  <c r="G71" i="33"/>
  <c r="W73" i="31"/>
  <c r="W74" i="32"/>
  <c r="Z73" i="31"/>
  <c r="Z74" i="32"/>
  <c r="H71" i="33" l="1"/>
  <c r="T72" i="33"/>
  <c r="T75" i="32"/>
  <c r="S76" i="32" s="1"/>
  <c r="H75" i="32"/>
  <c r="H69" i="31"/>
  <c r="G70" i="31" s="1"/>
  <c r="T74" i="31"/>
  <c r="N75" i="32"/>
  <c r="Z72" i="33"/>
  <c r="Z75" i="32"/>
  <c r="N71" i="33"/>
  <c r="K69" i="31"/>
  <c r="W75" i="32"/>
  <c r="W72" i="33"/>
  <c r="Z74" i="31"/>
  <c r="K71" i="33"/>
  <c r="N69" i="31"/>
  <c r="K75" i="32"/>
  <c r="W74" i="31"/>
  <c r="S75" i="31" l="1"/>
  <c r="S73" i="33"/>
  <c r="G76" i="32"/>
  <c r="T76" i="32"/>
  <c r="S77" i="32" s="1"/>
  <c r="H70" i="31"/>
  <c r="G72" i="33"/>
  <c r="W76" i="32"/>
  <c r="Z76" i="32"/>
  <c r="K70" i="31"/>
  <c r="N70" i="31"/>
  <c r="H72" i="33" l="1"/>
  <c r="G71" i="31"/>
  <c r="T77" i="32"/>
  <c r="S78" i="32" s="1"/>
  <c r="T73" i="33"/>
  <c r="S74" i="33" s="1"/>
  <c r="H76" i="32"/>
  <c r="T75" i="31"/>
  <c r="Z75" i="31"/>
  <c r="K76" i="32"/>
  <c r="N72" i="33"/>
  <c r="W75" i="31"/>
  <c r="Z77" i="32"/>
  <c r="Z73" i="33"/>
  <c r="N76" i="32"/>
  <c r="W77" i="32"/>
  <c r="K72" i="33"/>
  <c r="W73" i="33"/>
  <c r="T74" i="33" l="1"/>
  <c r="H71" i="31"/>
  <c r="G77" i="32"/>
  <c r="S76" i="31"/>
  <c r="T78" i="32"/>
  <c r="S79" i="32" s="1"/>
  <c r="G73" i="33"/>
  <c r="N71" i="31"/>
  <c r="W78" i="32"/>
  <c r="K71" i="31"/>
  <c r="W74" i="33"/>
  <c r="Z74" i="33"/>
  <c r="Z78" i="32"/>
  <c r="H73" i="33" l="1"/>
  <c r="G72" i="31"/>
  <c r="T79" i="32"/>
  <c r="H77" i="32"/>
  <c r="T76" i="31"/>
  <c r="S75" i="33"/>
  <c r="Z79" i="32"/>
  <c r="K77" i="32"/>
  <c r="N73" i="33"/>
  <c r="Z76" i="31"/>
  <c r="K73" i="33"/>
  <c r="N77" i="32"/>
  <c r="W76" i="31"/>
  <c r="W79" i="32"/>
  <c r="S77" i="31" l="1"/>
  <c r="G78" i="32"/>
  <c r="S80" i="32"/>
  <c r="H72" i="31"/>
  <c r="T75" i="33"/>
  <c r="S76" i="33" s="1"/>
  <c r="G74" i="33"/>
  <c r="Z75" i="33"/>
  <c r="K72" i="31"/>
  <c r="W75" i="33"/>
  <c r="N72" i="31"/>
  <c r="H74" i="33" l="1"/>
  <c r="T76" i="33"/>
  <c r="S77" i="33" s="1"/>
  <c r="H78" i="32"/>
  <c r="G79" i="32" s="1"/>
  <c r="G73" i="31"/>
  <c r="T80" i="32"/>
  <c r="S81" i="32" s="1"/>
  <c r="T77" i="31"/>
  <c r="S78" i="31" s="1"/>
  <c r="N74" i="33"/>
  <c r="W80" i="32"/>
  <c r="K78" i="32"/>
  <c r="W76" i="33"/>
  <c r="Z76" i="33"/>
  <c r="Z80" i="32"/>
  <c r="N78" i="32"/>
  <c r="K74" i="33"/>
  <c r="W77" i="31"/>
  <c r="Z77" i="31"/>
  <c r="H73" i="31" l="1"/>
  <c r="H79" i="32"/>
  <c r="G80" i="32" s="1"/>
  <c r="T77" i="33"/>
  <c r="S78" i="33" s="1"/>
  <c r="T78" i="31"/>
  <c r="T81" i="32"/>
  <c r="G75" i="33"/>
  <c r="W77" i="33"/>
  <c r="K73" i="31"/>
  <c r="N79" i="32"/>
  <c r="Z78" i="31"/>
  <c r="Z81" i="32"/>
  <c r="W81" i="32"/>
  <c r="K79" i="32"/>
  <c r="N73" i="31"/>
  <c r="W78" i="31"/>
  <c r="Z77" i="33"/>
  <c r="H80" i="32" l="1"/>
  <c r="G81" i="32" s="1"/>
  <c r="S79" i="31"/>
  <c r="T78" i="33"/>
  <c r="H75" i="33"/>
  <c r="G76" i="33" s="1"/>
  <c r="S82" i="32"/>
  <c r="G74" i="31"/>
  <c r="W78" i="33"/>
  <c r="K80" i="32"/>
  <c r="K75" i="33"/>
  <c r="Z78" i="33"/>
  <c r="N80" i="32"/>
  <c r="N75" i="33"/>
  <c r="H74" i="31" l="1"/>
  <c r="G75" i="31" s="1"/>
  <c r="T82" i="32"/>
  <c r="S83" i="32" s="1"/>
  <c r="H76" i="33"/>
  <c r="S79" i="33"/>
  <c r="T79" i="31"/>
  <c r="S80" i="31" s="1"/>
  <c r="H81" i="32"/>
  <c r="N74" i="31"/>
  <c r="N76" i="33"/>
  <c r="K76" i="33"/>
  <c r="Z79" i="31"/>
  <c r="N81" i="32"/>
  <c r="K81" i="32"/>
  <c r="Z82" i="32"/>
  <c r="K74" i="31"/>
  <c r="W82" i="32"/>
  <c r="W79" i="31"/>
  <c r="G77" i="33" l="1"/>
  <c r="T83" i="32"/>
  <c r="S84" i="32" s="1"/>
  <c r="T80" i="31"/>
  <c r="S81" i="31" s="1"/>
  <c r="T79" i="33"/>
  <c r="S80" i="33" s="1"/>
  <c r="G82" i="32"/>
  <c r="H75" i="31"/>
  <c r="K75" i="31"/>
  <c r="Z83" i="32"/>
  <c r="Z79" i="33"/>
  <c r="W79" i="33"/>
  <c r="Z80" i="31"/>
  <c r="W83" i="32"/>
  <c r="W80" i="31"/>
  <c r="N75" i="31"/>
  <c r="H82" i="32" l="1"/>
  <c r="T84" i="32"/>
  <c r="S85" i="32" s="1"/>
  <c r="T80" i="33"/>
  <c r="S81" i="33" s="1"/>
  <c r="T81" i="31"/>
  <c r="S82" i="31" s="1"/>
  <c r="G76" i="31"/>
  <c r="H77" i="33"/>
  <c r="G78" i="33" s="1"/>
  <c r="Z81" i="31"/>
  <c r="K82" i="32"/>
  <c r="N82" i="32"/>
  <c r="W80" i="33"/>
  <c r="N77" i="33"/>
  <c r="W81" i="31"/>
  <c r="Z80" i="33"/>
  <c r="W84" i="32"/>
  <c r="Z84" i="32"/>
  <c r="K77" i="33"/>
  <c r="T85" i="32" l="1"/>
  <c r="S86" i="32" s="1"/>
  <c r="T82" i="31"/>
  <c r="S83" i="31" s="1"/>
  <c r="H78" i="33"/>
  <c r="T81" i="33"/>
  <c r="H76" i="31"/>
  <c r="G77" i="31" s="1"/>
  <c r="G83" i="32"/>
  <c r="Z85" i="32"/>
  <c r="W81" i="33"/>
  <c r="Z81" i="33"/>
  <c r="K78" i="33"/>
  <c r="Z82" i="31"/>
  <c r="W85" i="32"/>
  <c r="N78" i="33"/>
  <c r="K76" i="31"/>
  <c r="N76" i="31"/>
  <c r="W82" i="31"/>
  <c r="T83" i="31" l="1"/>
  <c r="S84" i="31" s="1"/>
  <c r="T86" i="32"/>
  <c r="S87" i="32" s="1"/>
  <c r="S82" i="33"/>
  <c r="G79" i="33"/>
  <c r="H83" i="32"/>
  <c r="G84" i="32" s="1"/>
  <c r="H77" i="31"/>
  <c r="K83" i="32"/>
  <c r="N83" i="32"/>
  <c r="N77" i="31"/>
  <c r="W86" i="32"/>
  <c r="Z83" i="31"/>
  <c r="Z86" i="32"/>
  <c r="K77" i="31"/>
  <c r="W83" i="31"/>
  <c r="H84" i="32" l="1"/>
  <c r="H79" i="33"/>
  <c r="G80" i="33" s="1"/>
  <c r="T87" i="32"/>
  <c r="T82" i="33"/>
  <c r="T84" i="31"/>
  <c r="S85" i="31" s="1"/>
  <c r="G78" i="31"/>
  <c r="W87" i="32"/>
  <c r="Z84" i="31"/>
  <c r="N79" i="33"/>
  <c r="Z87" i="32"/>
  <c r="Z82" i="33"/>
  <c r="N84" i="32"/>
  <c r="W82" i="33"/>
  <c r="K84" i="32"/>
  <c r="W84" i="31"/>
  <c r="K79" i="33"/>
  <c r="S83" i="33" l="1"/>
  <c r="S88" i="32"/>
  <c r="H80" i="33"/>
  <c r="G81" i="33" s="1"/>
  <c r="T85" i="31"/>
  <c r="S86" i="31" s="1"/>
  <c r="H78" i="31"/>
  <c r="G79" i="31" s="1"/>
  <c r="G85" i="32"/>
  <c r="K80" i="33"/>
  <c r="K78" i="31"/>
  <c r="N78" i="31"/>
  <c r="W85" i="31"/>
  <c r="N80" i="33"/>
  <c r="Z85" i="31"/>
  <c r="T86" i="31" l="1"/>
  <c r="S87" i="31" s="1"/>
  <c r="H85" i="32"/>
  <c r="H79" i="31"/>
  <c r="H81" i="33"/>
  <c r="T88" i="32"/>
  <c r="S89" i="32" s="1"/>
  <c r="T83" i="33"/>
  <c r="W83" i="33"/>
  <c r="N79" i="31"/>
  <c r="W86" i="31"/>
  <c r="K79" i="31"/>
  <c r="N81" i="33"/>
  <c r="Z86" i="31"/>
  <c r="W88" i="32"/>
  <c r="K85" i="32"/>
  <c r="N85" i="32"/>
  <c r="Z83" i="33"/>
  <c r="Z88" i="32"/>
  <c r="K81" i="33"/>
  <c r="G82" i="33" l="1"/>
  <c r="S84" i="33"/>
  <c r="G86" i="32"/>
  <c r="G80" i="31"/>
  <c r="T87" i="31"/>
  <c r="S88" i="31" s="1"/>
  <c r="T89" i="32"/>
  <c r="S90" i="32" s="1"/>
  <c r="W89" i="32"/>
  <c r="Z89" i="32"/>
  <c r="W87" i="31"/>
  <c r="Z87" i="31"/>
  <c r="T90" i="32" l="1"/>
  <c r="S91" i="32" s="1"/>
  <c r="T84" i="33"/>
  <c r="T88" i="31"/>
  <c r="H80" i="31"/>
  <c r="H86" i="32"/>
  <c r="H82" i="33"/>
  <c r="W88" i="31"/>
  <c r="W84" i="33"/>
  <c r="K86" i="32"/>
  <c r="N80" i="31"/>
  <c r="W90" i="32"/>
  <c r="Z84" i="33"/>
  <c r="K80" i="31"/>
  <c r="Z88" i="31"/>
  <c r="K82" i="33"/>
  <c r="N86" i="32"/>
  <c r="Z90" i="32"/>
  <c r="N82" i="33"/>
  <c r="G83" i="33" l="1"/>
  <c r="S85" i="33"/>
  <c r="G81" i="31"/>
  <c r="S89" i="31"/>
  <c r="G87" i="32"/>
  <c r="T91" i="32"/>
  <c r="S92" i="32" s="1"/>
  <c r="Z91" i="32"/>
  <c r="W91" i="32"/>
  <c r="H87" i="32" l="1"/>
  <c r="G88" i="32" s="1"/>
  <c r="T89" i="31"/>
  <c r="T92" i="32"/>
  <c r="S93" i="32" s="1"/>
  <c r="H81" i="31"/>
  <c r="G82" i="31" s="1"/>
  <c r="T85" i="33"/>
  <c r="S86" i="33" s="1"/>
  <c r="H83" i="33"/>
  <c r="W89" i="31"/>
  <c r="Z85" i="33"/>
  <c r="Z92" i="32"/>
  <c r="K87" i="32"/>
  <c r="N81" i="31"/>
  <c r="Z89" i="31"/>
  <c r="W92" i="32"/>
  <c r="W85" i="33"/>
  <c r="K81" i="31"/>
  <c r="K83" i="33"/>
  <c r="N83" i="33"/>
  <c r="N87" i="32"/>
  <c r="T93" i="32" l="1"/>
  <c r="S94" i="32" s="1"/>
  <c r="H82" i="31"/>
  <c r="G84" i="33"/>
  <c r="S90" i="31"/>
  <c r="H88" i="32"/>
  <c r="G89" i="32" s="1"/>
  <c r="T86" i="33"/>
  <c r="S87" i="33" s="1"/>
  <c r="Z93" i="32"/>
  <c r="N88" i="32"/>
  <c r="Z86" i="33"/>
  <c r="K88" i="32"/>
  <c r="N82" i="31"/>
  <c r="K82" i="31"/>
  <c r="W86" i="33"/>
  <c r="W93" i="32"/>
  <c r="H89" i="32" l="1"/>
  <c r="G90" i="32" s="1"/>
  <c r="G83" i="31"/>
  <c r="H84" i="33"/>
  <c r="T90" i="31"/>
  <c r="T94" i="32"/>
  <c r="T87" i="33"/>
  <c r="S88" i="33" s="1"/>
  <c r="W87" i="33"/>
  <c r="K84" i="33"/>
  <c r="K89" i="32"/>
  <c r="W94" i="32"/>
  <c r="N84" i="33"/>
  <c r="W90" i="31"/>
  <c r="Z87" i="33"/>
  <c r="Z94" i="32"/>
  <c r="N89" i="32"/>
  <c r="Z90" i="31"/>
  <c r="G85" i="33" l="1"/>
  <c r="H83" i="31"/>
  <c r="T88" i="33"/>
  <c r="S89" i="33" s="1"/>
  <c r="S95" i="32"/>
  <c r="S91" i="31"/>
  <c r="H90" i="32"/>
  <c r="N83" i="31"/>
  <c r="Z88" i="33"/>
  <c r="K90" i="32"/>
  <c r="K83" i="31"/>
  <c r="N90" i="32"/>
  <c r="W88" i="33"/>
  <c r="T95" i="32" l="1"/>
  <c r="S96" i="32" s="1"/>
  <c r="T89" i="33"/>
  <c r="G91" i="32"/>
  <c r="G84" i="31"/>
  <c r="T91" i="31"/>
  <c r="H85" i="33"/>
  <c r="G86" i="33" s="1"/>
  <c r="W89" i="33"/>
  <c r="K85" i="33"/>
  <c r="Z95" i="32"/>
  <c r="Z91" i="31"/>
  <c r="W91" i="31"/>
  <c r="N85" i="33"/>
  <c r="W95" i="32"/>
  <c r="Z89" i="33"/>
  <c r="S90" i="33" l="1"/>
  <c r="H86" i="33"/>
  <c r="G87" i="33" s="1"/>
  <c r="S92" i="31"/>
  <c r="H91" i="32"/>
  <c r="G92" i="32" s="1"/>
  <c r="H84" i="31"/>
  <c r="G85" i="31" s="1"/>
  <c r="T96" i="32"/>
  <c r="S97" i="32" s="1"/>
  <c r="N91" i="32"/>
  <c r="W96" i="32"/>
  <c r="K86" i="33"/>
  <c r="N84" i="31"/>
  <c r="Z96" i="32"/>
  <c r="K84" i="31"/>
  <c r="K91" i="32"/>
  <c r="N86" i="33"/>
  <c r="H85" i="31" l="1"/>
  <c r="H92" i="32"/>
  <c r="T97" i="32"/>
  <c r="S98" i="32" s="1"/>
  <c r="T92" i="31"/>
  <c r="S93" i="31" s="1"/>
  <c r="H87" i="33"/>
  <c r="G88" i="33" s="1"/>
  <c r="T90" i="33"/>
  <c r="S91" i="33" s="1"/>
  <c r="Z92" i="31"/>
  <c r="K87" i="33"/>
  <c r="K92" i="32"/>
  <c r="K85" i="31"/>
  <c r="W92" i="31"/>
  <c r="W90" i="33"/>
  <c r="N85" i="31"/>
  <c r="Z90" i="33"/>
  <c r="W97" i="32"/>
  <c r="N87" i="33"/>
  <c r="N92" i="32"/>
  <c r="Z97" i="32"/>
  <c r="T93" i="31" l="1"/>
  <c r="S94" i="31" s="1"/>
  <c r="G93" i="32"/>
  <c r="T98" i="32"/>
  <c r="S99" i="32" s="1"/>
  <c r="H88" i="33"/>
  <c r="T91" i="33"/>
  <c r="S92" i="33" s="1"/>
  <c r="G86" i="31"/>
  <c r="Z91" i="33"/>
  <c r="W98" i="32"/>
  <c r="N88" i="33"/>
  <c r="W91" i="33"/>
  <c r="Z93" i="31"/>
  <c r="K88" i="33"/>
  <c r="W93" i="31"/>
  <c r="Z98" i="32"/>
  <c r="T99" i="32" l="1"/>
  <c r="S100" i="32" s="1"/>
  <c r="G89" i="33"/>
  <c r="H93" i="32"/>
  <c r="H86" i="31"/>
  <c r="T94" i="31"/>
  <c r="T92" i="33"/>
  <c r="S93" i="33" s="1"/>
  <c r="W94" i="31"/>
  <c r="Z99" i="32"/>
  <c r="N86" i="31"/>
  <c r="K93" i="32"/>
  <c r="W99" i="32"/>
  <c r="N93" i="32"/>
  <c r="W92" i="33"/>
  <c r="Z94" i="31"/>
  <c r="Z92" i="33"/>
  <c r="K86" i="31"/>
  <c r="G94" i="32" l="1"/>
  <c r="H89" i="33"/>
  <c r="T93" i="33"/>
  <c r="T100" i="32"/>
  <c r="S95" i="31"/>
  <c r="G87" i="31"/>
  <c r="W100" i="32"/>
  <c r="Z93" i="33"/>
  <c r="W93" i="33"/>
  <c r="K89" i="33"/>
  <c r="Z100" i="32"/>
  <c r="N89" i="33"/>
  <c r="H87" i="31" l="1"/>
  <c r="S94" i="33"/>
  <c r="T95" i="31"/>
  <c r="S96" i="31" s="1"/>
  <c r="S101" i="32"/>
  <c r="G90" i="33"/>
  <c r="H94" i="32"/>
  <c r="G95" i="32" s="1"/>
  <c r="N94" i="32"/>
  <c r="N87" i="31"/>
  <c r="W95" i="31"/>
  <c r="K94" i="32"/>
  <c r="K87" i="31"/>
  <c r="Z95" i="31"/>
  <c r="H95" i="32" l="1"/>
  <c r="G96" i="32" s="1"/>
  <c r="T101" i="32"/>
  <c r="S102" i="32" s="1"/>
  <c r="T96" i="31"/>
  <c r="S97" i="31" s="1"/>
  <c r="T94" i="33"/>
  <c r="S95" i="33" s="1"/>
  <c r="H90" i="33"/>
  <c r="G88" i="31"/>
  <c r="Z101" i="32"/>
  <c r="W101" i="32"/>
  <c r="K95" i="32"/>
  <c r="K90" i="33"/>
  <c r="N95" i="32"/>
  <c r="Z94" i="33"/>
  <c r="W96" i="31"/>
  <c r="W94" i="33"/>
  <c r="Z96" i="31"/>
  <c r="N90" i="33"/>
  <c r="T97" i="31" l="1"/>
  <c r="S98" i="31" s="1"/>
  <c r="T102" i="32"/>
  <c r="S103" i="32" s="1"/>
  <c r="T95" i="33"/>
  <c r="H88" i="31"/>
  <c r="G91" i="33"/>
  <c r="H96" i="32"/>
  <c r="K96" i="32"/>
  <c r="Z97" i="31"/>
  <c r="N88" i="31"/>
  <c r="Z95" i="33"/>
  <c r="W102" i="32"/>
  <c r="N96" i="32"/>
  <c r="W97" i="31"/>
  <c r="Z102" i="32"/>
  <c r="W95" i="33"/>
  <c r="K88" i="31"/>
  <c r="S96" i="33" l="1"/>
  <c r="T103" i="32"/>
  <c r="S104" i="32" s="1"/>
  <c r="G89" i="31"/>
  <c r="G97" i="32"/>
  <c r="T98" i="31"/>
  <c r="S99" i="31" s="1"/>
  <c r="H91" i="33"/>
  <c r="W103" i="32"/>
  <c r="Z98" i="31"/>
  <c r="N91" i="33"/>
  <c r="W98" i="31"/>
  <c r="Z103" i="32"/>
  <c r="K91" i="33"/>
  <c r="G92" i="33" l="1"/>
  <c r="H97" i="32"/>
  <c r="G98" i="32" s="1"/>
  <c r="H89" i="31"/>
  <c r="G90" i="31" s="1"/>
  <c r="T99" i="31"/>
  <c r="S100" i="31" s="1"/>
  <c r="T104" i="32"/>
  <c r="S105" i="32" s="1"/>
  <c r="T96" i="33"/>
  <c r="S97" i="33" s="1"/>
  <c r="W99" i="31"/>
  <c r="N89" i="31"/>
  <c r="W96" i="33"/>
  <c r="K89" i="31"/>
  <c r="W104" i="32"/>
  <c r="N97" i="32"/>
  <c r="K97" i="32"/>
  <c r="Z99" i="31"/>
  <c r="Z96" i="33"/>
  <c r="Z104" i="32"/>
  <c r="H90" i="31" l="1"/>
  <c r="G91" i="31" s="1"/>
  <c r="H98" i="32"/>
  <c r="G99" i="32" s="1"/>
  <c r="T105" i="32"/>
  <c r="T97" i="33"/>
  <c r="S98" i="33" s="1"/>
  <c r="T100" i="31"/>
  <c r="S101" i="31" s="1"/>
  <c r="H92" i="33"/>
  <c r="G93" i="33" s="1"/>
  <c r="W100" i="31"/>
  <c r="Z97" i="33"/>
  <c r="N90" i="31"/>
  <c r="N98" i="32"/>
  <c r="K98" i="32"/>
  <c r="W97" i="33"/>
  <c r="W105" i="32"/>
  <c r="Z100" i="31"/>
  <c r="N92" i="33"/>
  <c r="K92" i="33"/>
  <c r="Z105" i="32"/>
  <c r="K90" i="31"/>
  <c r="T98" i="33" l="1"/>
  <c r="S99" i="33" s="1"/>
  <c r="H99" i="32"/>
  <c r="S106" i="32"/>
  <c r="H93" i="33"/>
  <c r="H91" i="31"/>
  <c r="T101" i="31"/>
  <c r="S102" i="31" s="1"/>
  <c r="W98" i="33"/>
  <c r="K99" i="32"/>
  <c r="N91" i="31"/>
  <c r="Z101" i="31"/>
  <c r="K93" i="33"/>
  <c r="N93" i="33"/>
  <c r="W101" i="31"/>
  <c r="Z98" i="33"/>
  <c r="N99" i="32"/>
  <c r="K91" i="31"/>
  <c r="G100" i="32" l="1"/>
  <c r="T102" i="31"/>
  <c r="S103" i="31" s="1"/>
  <c r="T106" i="32"/>
  <c r="S107" i="32" s="1"/>
  <c r="T99" i="33"/>
  <c r="G92" i="31"/>
  <c r="G94" i="33"/>
  <c r="Z99" i="33"/>
  <c r="W102" i="31"/>
  <c r="Z102" i="31"/>
  <c r="W106" i="32"/>
  <c r="Z106" i="32"/>
  <c r="W99" i="33"/>
  <c r="H92" i="31" l="1"/>
  <c r="G93" i="31" s="1"/>
  <c r="S100" i="33"/>
  <c r="T107" i="32"/>
  <c r="S108" i="32" s="1"/>
  <c r="H94" i="33"/>
  <c r="T103" i="31"/>
  <c r="H100" i="32"/>
  <c r="K100" i="32"/>
  <c r="N94" i="33"/>
  <c r="Z103" i="31"/>
  <c r="W103" i="31"/>
  <c r="Z107" i="32"/>
  <c r="W107" i="32"/>
  <c r="K92" i="31"/>
  <c r="N100" i="32"/>
  <c r="N92" i="31"/>
  <c r="K94" i="33"/>
  <c r="T108" i="32" l="1"/>
  <c r="S109" i="32" s="1"/>
  <c r="T100" i="33"/>
  <c r="S101" i="33" s="1"/>
  <c r="S104" i="31"/>
  <c r="G95" i="33"/>
  <c r="G101" i="32"/>
  <c r="H93" i="31"/>
  <c r="W100" i="33"/>
  <c r="Z108" i="32"/>
  <c r="N93" i="31"/>
  <c r="W108" i="32"/>
  <c r="K93" i="31"/>
  <c r="Z100" i="33"/>
  <c r="G94" i="31" l="1"/>
  <c r="T104" i="31"/>
  <c r="S105" i="31" s="1"/>
  <c r="H95" i="33"/>
  <c r="G96" i="33" s="1"/>
  <c r="T101" i="33"/>
  <c r="S102" i="33" s="1"/>
  <c r="H101" i="32"/>
  <c r="T109" i="32"/>
  <c r="Z101" i="33"/>
  <c r="W109" i="32"/>
  <c r="W104" i="31"/>
  <c r="N95" i="33"/>
  <c r="Z104" i="31"/>
  <c r="Z109" i="32"/>
  <c r="N101" i="32"/>
  <c r="K95" i="33"/>
  <c r="W101" i="33"/>
  <c r="K101" i="32"/>
  <c r="X109" i="32" l="1"/>
  <c r="Y109" i="32" s="1"/>
  <c r="X10" i="32"/>
  <c r="X11" i="32"/>
  <c r="X9" i="32"/>
  <c r="X8" i="32"/>
  <c r="X12" i="32"/>
  <c r="X13" i="32"/>
  <c r="X14" i="32"/>
  <c r="X15" i="32"/>
  <c r="X16" i="32"/>
  <c r="X17" i="32"/>
  <c r="X18" i="32"/>
  <c r="X19" i="32"/>
  <c r="X20" i="32"/>
  <c r="X21" i="32"/>
  <c r="X22" i="32"/>
  <c r="X23" i="32"/>
  <c r="X24" i="32"/>
  <c r="X25" i="32"/>
  <c r="X26" i="32"/>
  <c r="X27" i="32"/>
  <c r="X28" i="32"/>
  <c r="X29" i="32"/>
  <c r="X30" i="32"/>
  <c r="X31" i="32"/>
  <c r="X32" i="32"/>
  <c r="X33" i="32"/>
  <c r="X34" i="32"/>
  <c r="X35" i="32"/>
  <c r="X36" i="32"/>
  <c r="X37" i="32"/>
  <c r="X38" i="32"/>
  <c r="X39" i="32"/>
  <c r="X40" i="32"/>
  <c r="X41" i="32"/>
  <c r="X42" i="32"/>
  <c r="X43" i="32"/>
  <c r="X44" i="32"/>
  <c r="X45" i="32"/>
  <c r="X46" i="32"/>
  <c r="X47" i="32"/>
  <c r="X48" i="32"/>
  <c r="X49" i="32"/>
  <c r="X50" i="32"/>
  <c r="X51" i="32"/>
  <c r="X52" i="32"/>
  <c r="X53" i="32"/>
  <c r="X54" i="32"/>
  <c r="X55" i="32"/>
  <c r="X56" i="32"/>
  <c r="X57" i="32"/>
  <c r="X58" i="32"/>
  <c r="X59" i="32"/>
  <c r="X60" i="32"/>
  <c r="X61" i="32"/>
  <c r="X62" i="32"/>
  <c r="X63" i="32"/>
  <c r="X64" i="32"/>
  <c r="X65" i="32"/>
  <c r="X66" i="32"/>
  <c r="X67" i="32"/>
  <c r="X68" i="32"/>
  <c r="X69" i="32"/>
  <c r="X70" i="32"/>
  <c r="X71" i="32"/>
  <c r="X72" i="32"/>
  <c r="X73" i="32"/>
  <c r="X74" i="32"/>
  <c r="X75" i="32"/>
  <c r="X76" i="32"/>
  <c r="X77" i="32"/>
  <c r="X78" i="32"/>
  <c r="X79" i="32"/>
  <c r="X80" i="32"/>
  <c r="X81" i="32"/>
  <c r="X82" i="32"/>
  <c r="X83" i="32"/>
  <c r="X84" i="32"/>
  <c r="X85" i="32"/>
  <c r="X86" i="32"/>
  <c r="X87" i="32"/>
  <c r="X88" i="32"/>
  <c r="X89" i="32"/>
  <c r="X90" i="32"/>
  <c r="X91" i="32"/>
  <c r="X92" i="32"/>
  <c r="X93" i="32"/>
  <c r="X94" i="32"/>
  <c r="X95" i="32"/>
  <c r="X96" i="32"/>
  <c r="X97" i="32"/>
  <c r="X98" i="32"/>
  <c r="X99" i="32"/>
  <c r="X100" i="32"/>
  <c r="X101" i="32"/>
  <c r="X102" i="32"/>
  <c r="X108" i="32"/>
  <c r="Y108" i="32" s="1"/>
  <c r="X104" i="32"/>
  <c r="X107" i="32"/>
  <c r="X105" i="32"/>
  <c r="X103" i="32"/>
  <c r="X106" i="32"/>
  <c r="AA109" i="32"/>
  <c r="AB109" i="32" s="1"/>
  <c r="AA8" i="32"/>
  <c r="AA10" i="32"/>
  <c r="AA9" i="32"/>
  <c r="AA11" i="32"/>
  <c r="AA12" i="32"/>
  <c r="AA13" i="32"/>
  <c r="AA14" i="32"/>
  <c r="AA15" i="32"/>
  <c r="AA16" i="32"/>
  <c r="AA17" i="32"/>
  <c r="AA18" i="32"/>
  <c r="AA19" i="32"/>
  <c r="AA20" i="32"/>
  <c r="AA21" i="32"/>
  <c r="AA22" i="32"/>
  <c r="AA23" i="32"/>
  <c r="AA24" i="32"/>
  <c r="AA25" i="32"/>
  <c r="AA26" i="32"/>
  <c r="AA27" i="32"/>
  <c r="AA28" i="32"/>
  <c r="AA29" i="32"/>
  <c r="AA30" i="32"/>
  <c r="AA31" i="32"/>
  <c r="AA32" i="32"/>
  <c r="AA33" i="32"/>
  <c r="AA34" i="32"/>
  <c r="AA35" i="32"/>
  <c r="AA36" i="32"/>
  <c r="AA37" i="32"/>
  <c r="AA38" i="32"/>
  <c r="AA39" i="32"/>
  <c r="AA40" i="32"/>
  <c r="AA41" i="32"/>
  <c r="AA42" i="32"/>
  <c r="AA43" i="32"/>
  <c r="AA44" i="32"/>
  <c r="AA45" i="32"/>
  <c r="AA46" i="32"/>
  <c r="AA47" i="32"/>
  <c r="AA48" i="32"/>
  <c r="AA49" i="32"/>
  <c r="AA50" i="32"/>
  <c r="AA51" i="32"/>
  <c r="AA52" i="32"/>
  <c r="AA53" i="32"/>
  <c r="AA54" i="32"/>
  <c r="AA55" i="32"/>
  <c r="AA56" i="32"/>
  <c r="AA57" i="32"/>
  <c r="AA58" i="32"/>
  <c r="AA59" i="32"/>
  <c r="AA60" i="32"/>
  <c r="AA61" i="32"/>
  <c r="AA62" i="32"/>
  <c r="AA63" i="32"/>
  <c r="AA64" i="32"/>
  <c r="AA65" i="32"/>
  <c r="AA66" i="32"/>
  <c r="AA67" i="32"/>
  <c r="AA68" i="32"/>
  <c r="AA69" i="32"/>
  <c r="AA70" i="32"/>
  <c r="AA71" i="32"/>
  <c r="AA72" i="32"/>
  <c r="AA73" i="32"/>
  <c r="AA74" i="32"/>
  <c r="AA75" i="32"/>
  <c r="AA76" i="32"/>
  <c r="AA77" i="32"/>
  <c r="AA78" i="32"/>
  <c r="AA79" i="32"/>
  <c r="AA80" i="32"/>
  <c r="AA81" i="32"/>
  <c r="AA82" i="32"/>
  <c r="AA83" i="32"/>
  <c r="AA84" i="32"/>
  <c r="AA85" i="32"/>
  <c r="AA86" i="32"/>
  <c r="AA87" i="32"/>
  <c r="AA88" i="32"/>
  <c r="AA89" i="32"/>
  <c r="AA90" i="32"/>
  <c r="AA91" i="32"/>
  <c r="AA92" i="32"/>
  <c r="AA93" i="32"/>
  <c r="AA94" i="32"/>
  <c r="AA95" i="32"/>
  <c r="AA96" i="32"/>
  <c r="AA97" i="32"/>
  <c r="AA98" i="32"/>
  <c r="AA99" i="32"/>
  <c r="AA100" i="32"/>
  <c r="AA101" i="32"/>
  <c r="AA102" i="32"/>
  <c r="AA103" i="32"/>
  <c r="AA105" i="32"/>
  <c r="AA107" i="32"/>
  <c r="AA106" i="32"/>
  <c r="AA108" i="32"/>
  <c r="AB108" i="32" s="1"/>
  <c r="AA104" i="32"/>
  <c r="T102" i="33"/>
  <c r="S103" i="33" s="1"/>
  <c r="T105" i="31"/>
  <c r="G102" i="32"/>
  <c r="H96" i="33"/>
  <c r="H94" i="31"/>
  <c r="N96" i="33"/>
  <c r="W105" i="31"/>
  <c r="W102" i="33"/>
  <c r="Z105" i="31"/>
  <c r="Z102" i="33"/>
  <c r="K96" i="33"/>
  <c r="N94" i="31"/>
  <c r="K94" i="31"/>
  <c r="Y102" i="32" l="1"/>
  <c r="Y107" i="32"/>
  <c r="Y106" i="32"/>
  <c r="AB104" i="32"/>
  <c r="AB48" i="32"/>
  <c r="AB24" i="32"/>
  <c r="AB12" i="32"/>
  <c r="Y90" i="32"/>
  <c r="Y78" i="32"/>
  <c r="Y54" i="32"/>
  <c r="Y42" i="32"/>
  <c r="Y30" i="32"/>
  <c r="Y18" i="32"/>
  <c r="Y105" i="32"/>
  <c r="AB84" i="32"/>
  <c r="AB95" i="32"/>
  <c r="AB94" i="32"/>
  <c r="AB82" i="32"/>
  <c r="AB70" i="32"/>
  <c r="AB58" i="32"/>
  <c r="AB46" i="32"/>
  <c r="AB34" i="32"/>
  <c r="AB22" i="32"/>
  <c r="AB9" i="32"/>
  <c r="Y100" i="32"/>
  <c r="Y88" i="32"/>
  <c r="Y76" i="32"/>
  <c r="Y64" i="32"/>
  <c r="Y52" i="32"/>
  <c r="Y40" i="32"/>
  <c r="Y28" i="32"/>
  <c r="Y16" i="32"/>
  <c r="AB47" i="32"/>
  <c r="Y41" i="32"/>
  <c r="AB106" i="32"/>
  <c r="AB93" i="32"/>
  <c r="AB81" i="32"/>
  <c r="AB69" i="32"/>
  <c r="AB57" i="32"/>
  <c r="AB45" i="32"/>
  <c r="AB33" i="32"/>
  <c r="AB21" i="32"/>
  <c r="AB10" i="32"/>
  <c r="Y99" i="32"/>
  <c r="Y87" i="32"/>
  <c r="Y75" i="32"/>
  <c r="Y63" i="32"/>
  <c r="Y51" i="32"/>
  <c r="Y39" i="32"/>
  <c r="Y27" i="32"/>
  <c r="Y15" i="32"/>
  <c r="AB35" i="32"/>
  <c r="Y53" i="32"/>
  <c r="AB92" i="32"/>
  <c r="AB44" i="32"/>
  <c r="AB32" i="32"/>
  <c r="AB20" i="32"/>
  <c r="AB8" i="32"/>
  <c r="Y98" i="32"/>
  <c r="Y86" i="32"/>
  <c r="Y74" i="32"/>
  <c r="Y62" i="32"/>
  <c r="Y50" i="32"/>
  <c r="Y38" i="32"/>
  <c r="Y26" i="32"/>
  <c r="Y14" i="32"/>
  <c r="AB71" i="32"/>
  <c r="Y29" i="32"/>
  <c r="AB105" i="32"/>
  <c r="AB91" i="32"/>
  <c r="AB67" i="32"/>
  <c r="AB55" i="32"/>
  <c r="AB43" i="32"/>
  <c r="AB31" i="32"/>
  <c r="AB19" i="32"/>
  <c r="Y97" i="32"/>
  <c r="Y85" i="32"/>
  <c r="Y73" i="32"/>
  <c r="Y61" i="32"/>
  <c r="Y49" i="32"/>
  <c r="Y37" i="32"/>
  <c r="Y25" i="32"/>
  <c r="Y13" i="32"/>
  <c r="AB36" i="32"/>
  <c r="Y66" i="32"/>
  <c r="AB59" i="32"/>
  <c r="AB103" i="32"/>
  <c r="AB79" i="32"/>
  <c r="AB102" i="32"/>
  <c r="AB90" i="32"/>
  <c r="AB78" i="32"/>
  <c r="AB66" i="32"/>
  <c r="AB54" i="32"/>
  <c r="AB42" i="32"/>
  <c r="AB30" i="32"/>
  <c r="AB18" i="32"/>
  <c r="Y96" i="32"/>
  <c r="Y84" i="32"/>
  <c r="Y72" i="32"/>
  <c r="Y60" i="32"/>
  <c r="Y48" i="32"/>
  <c r="Y36" i="32"/>
  <c r="Y24" i="32"/>
  <c r="Y12" i="32"/>
  <c r="Y101" i="32"/>
  <c r="AB101" i="32"/>
  <c r="AB89" i="32"/>
  <c r="AB77" i="32"/>
  <c r="AB65" i="32"/>
  <c r="AB53" i="32"/>
  <c r="AB41" i="32"/>
  <c r="AB29" i="32"/>
  <c r="AB17" i="32"/>
  <c r="Y103" i="32"/>
  <c r="Y95" i="32"/>
  <c r="Y83" i="32"/>
  <c r="Y71" i="32"/>
  <c r="Y59" i="32"/>
  <c r="Y47" i="32"/>
  <c r="Y35" i="32"/>
  <c r="Y23" i="32"/>
  <c r="Y8" i="32"/>
  <c r="AB72" i="32"/>
  <c r="AB23" i="32"/>
  <c r="AB107" i="32"/>
  <c r="AB100" i="32"/>
  <c r="AB64" i="32"/>
  <c r="AB52" i="32"/>
  <c r="AB40" i="32"/>
  <c r="AB28" i="32"/>
  <c r="AB16" i="32"/>
  <c r="Y94" i="32"/>
  <c r="Y82" i="32"/>
  <c r="Y70" i="32"/>
  <c r="Y58" i="32"/>
  <c r="Y46" i="32"/>
  <c r="Y34" i="32"/>
  <c r="Y22" i="32"/>
  <c r="Y9" i="32"/>
  <c r="AB83" i="32"/>
  <c r="Y89" i="32"/>
  <c r="Y65" i="32"/>
  <c r="AB56" i="32"/>
  <c r="AB87" i="32"/>
  <c r="AB75" i="32"/>
  <c r="AB63" i="32"/>
  <c r="AB51" i="32"/>
  <c r="AB39" i="32"/>
  <c r="AB27" i="32"/>
  <c r="AB15" i="32"/>
  <c r="Y93" i="32"/>
  <c r="Y81" i="32"/>
  <c r="Y69" i="32"/>
  <c r="Y57" i="32"/>
  <c r="Y45" i="32"/>
  <c r="Y33" i="32"/>
  <c r="Y21" i="32"/>
  <c r="Y11" i="32"/>
  <c r="AB60" i="32"/>
  <c r="AB11" i="32"/>
  <c r="Y77" i="32"/>
  <c r="AB68" i="32"/>
  <c r="AB88" i="32"/>
  <c r="AB99" i="32"/>
  <c r="AB86" i="32"/>
  <c r="AB74" i="32"/>
  <c r="AB62" i="32"/>
  <c r="AB50" i="32"/>
  <c r="AB38" i="32"/>
  <c r="AB26" i="32"/>
  <c r="AB14" i="32"/>
  <c r="Y104" i="32"/>
  <c r="Y92" i="32"/>
  <c r="Y80" i="32"/>
  <c r="Y68" i="32"/>
  <c r="Y56" i="32"/>
  <c r="Y44" i="32"/>
  <c r="Y32" i="32"/>
  <c r="Y20" i="32"/>
  <c r="Y10" i="32"/>
  <c r="AB96" i="32"/>
  <c r="Y17" i="32"/>
  <c r="AB80" i="32"/>
  <c r="AB76" i="32"/>
  <c r="AB98" i="32"/>
  <c r="AB97" i="32"/>
  <c r="AB85" i="32"/>
  <c r="AB73" i="32"/>
  <c r="AB61" i="32"/>
  <c r="AB49" i="32"/>
  <c r="AB37" i="32"/>
  <c r="AB25" i="32"/>
  <c r="AB13" i="32"/>
  <c r="Y91" i="32"/>
  <c r="Y79" i="32"/>
  <c r="Y67" i="32"/>
  <c r="Y55" i="32"/>
  <c r="Y43" i="32"/>
  <c r="Y31" i="32"/>
  <c r="Y19" i="32"/>
  <c r="H102" i="32"/>
  <c r="G95" i="31"/>
  <c r="G97" i="33"/>
  <c r="S106" i="31"/>
  <c r="T103" i="33"/>
  <c r="S104" i="33" s="1"/>
  <c r="K102" i="32"/>
  <c r="N102" i="32"/>
  <c r="Z103" i="33"/>
  <c r="W103" i="33"/>
  <c r="T104" i="33" l="1"/>
  <c r="S105" i="33" s="1"/>
  <c r="T106" i="31"/>
  <c r="S107" i="31" s="1"/>
  <c r="H97" i="33"/>
  <c r="G98" i="33" s="1"/>
  <c r="H95" i="31"/>
  <c r="G96" i="31" s="1"/>
  <c r="G103" i="32"/>
  <c r="N97" i="33"/>
  <c r="Z104" i="33"/>
  <c r="K97" i="33"/>
  <c r="Z106" i="31"/>
  <c r="K95" i="31"/>
  <c r="N95" i="31"/>
  <c r="W104" i="33"/>
  <c r="W106" i="31"/>
  <c r="H98" i="33" l="1"/>
  <c r="G99" i="33" s="1"/>
  <c r="T107" i="31"/>
  <c r="S108" i="31" s="1"/>
  <c r="H96" i="31"/>
  <c r="G97" i="31" s="1"/>
  <c r="T105" i="33"/>
  <c r="H103" i="32"/>
  <c r="G104" i="32" s="1"/>
  <c r="N98" i="33"/>
  <c r="K98" i="33"/>
  <c r="Z107" i="31"/>
  <c r="W107" i="31"/>
  <c r="W105" i="33"/>
  <c r="K103" i="32"/>
  <c r="Z105" i="33"/>
  <c r="N103" i="32"/>
  <c r="N96" i="31"/>
  <c r="K96" i="31"/>
  <c r="S106" i="33" l="1"/>
  <c r="H97" i="31"/>
  <c r="G98" i="31" s="1"/>
  <c r="H99" i="33"/>
  <c r="T108" i="31"/>
  <c r="S109" i="31" s="1"/>
  <c r="H104" i="32"/>
  <c r="G105" i="32" s="1"/>
  <c r="N99" i="33"/>
  <c r="K97" i="31"/>
  <c r="Z108" i="31"/>
  <c r="K104" i="32"/>
  <c r="K99" i="33"/>
  <c r="N104" i="32"/>
  <c r="N97" i="31"/>
  <c r="W108" i="31"/>
  <c r="T109" i="31" l="1"/>
  <c r="G100" i="33"/>
  <c r="H98" i="31"/>
  <c r="G99" i="31" s="1"/>
  <c r="H105" i="32"/>
  <c r="T106" i="33"/>
  <c r="S107" i="33" s="1"/>
  <c r="Z109" i="31"/>
  <c r="Z106" i="33"/>
  <c r="W109" i="31"/>
  <c r="K98" i="31"/>
  <c r="N105" i="32"/>
  <c r="N98" i="31"/>
  <c r="W106" i="33"/>
  <c r="K105" i="32"/>
  <c r="X109" i="31" l="1"/>
  <c r="Y109" i="31" s="1"/>
  <c r="X8" i="31"/>
  <c r="X11" i="31"/>
  <c r="X9" i="31"/>
  <c r="X12" i="31"/>
  <c r="X10" i="31"/>
  <c r="X13" i="31"/>
  <c r="X14" i="31"/>
  <c r="X15" i="31"/>
  <c r="X16" i="31"/>
  <c r="X17" i="31"/>
  <c r="X18" i="31"/>
  <c r="X19" i="31"/>
  <c r="X20" i="31"/>
  <c r="X21" i="31"/>
  <c r="X22" i="31"/>
  <c r="X23" i="31"/>
  <c r="X24" i="31"/>
  <c r="X25" i="31"/>
  <c r="X26" i="31"/>
  <c r="X27" i="31"/>
  <c r="X28" i="31"/>
  <c r="X29" i="31"/>
  <c r="X30" i="31"/>
  <c r="X31" i="31"/>
  <c r="X32" i="31"/>
  <c r="X33" i="31"/>
  <c r="X34" i="31"/>
  <c r="X35" i="31"/>
  <c r="X36" i="31"/>
  <c r="X37" i="31"/>
  <c r="X38" i="31"/>
  <c r="X39" i="31"/>
  <c r="X40" i="31"/>
  <c r="X41" i="31"/>
  <c r="X42" i="31"/>
  <c r="X43" i="31"/>
  <c r="X44" i="31"/>
  <c r="X45" i="31"/>
  <c r="X46" i="31"/>
  <c r="X47" i="31"/>
  <c r="X48" i="31"/>
  <c r="X49" i="31"/>
  <c r="X50" i="31"/>
  <c r="X51" i="31"/>
  <c r="X52" i="31"/>
  <c r="X53" i="31"/>
  <c r="X54" i="31"/>
  <c r="X55" i="31"/>
  <c r="X56" i="31"/>
  <c r="X57" i="31"/>
  <c r="X58" i="31"/>
  <c r="X59" i="31"/>
  <c r="X60" i="31"/>
  <c r="X61" i="31"/>
  <c r="X62" i="31"/>
  <c r="X63" i="31"/>
  <c r="X64" i="31"/>
  <c r="X65" i="31"/>
  <c r="X66" i="31"/>
  <c r="X67" i="31"/>
  <c r="X68" i="31"/>
  <c r="X69" i="31"/>
  <c r="X70" i="31"/>
  <c r="X71" i="31"/>
  <c r="X72" i="31"/>
  <c r="X73" i="31"/>
  <c r="X74" i="31"/>
  <c r="X75" i="31"/>
  <c r="X76" i="31"/>
  <c r="X77" i="31"/>
  <c r="X78" i="31"/>
  <c r="X79" i="31"/>
  <c r="X80" i="31"/>
  <c r="X81" i="31"/>
  <c r="X82" i="31"/>
  <c r="X83" i="31"/>
  <c r="X84" i="31"/>
  <c r="X85" i="31"/>
  <c r="X86" i="31"/>
  <c r="X87" i="31"/>
  <c r="X88" i="31"/>
  <c r="X89" i="31"/>
  <c r="X90" i="31"/>
  <c r="X91" i="31"/>
  <c r="X92" i="31"/>
  <c r="X93" i="31"/>
  <c r="X94" i="31"/>
  <c r="X95" i="31"/>
  <c r="X96" i="31"/>
  <c r="X97" i="31"/>
  <c r="X98" i="31"/>
  <c r="X99" i="31"/>
  <c r="X100" i="31"/>
  <c r="X101" i="31"/>
  <c r="X102" i="31"/>
  <c r="X108" i="31"/>
  <c r="Y108" i="31" s="1"/>
  <c r="X107" i="31"/>
  <c r="X105" i="31"/>
  <c r="X103" i="31"/>
  <c r="X106" i="31"/>
  <c r="X104" i="31"/>
  <c r="AA109" i="31"/>
  <c r="AB109" i="31" s="1"/>
  <c r="AA9" i="31"/>
  <c r="AA10" i="31"/>
  <c r="AA11" i="31"/>
  <c r="AA8" i="31"/>
  <c r="AA13" i="31"/>
  <c r="AA12" i="31"/>
  <c r="AA14" i="31"/>
  <c r="AA15" i="31"/>
  <c r="AA16" i="31"/>
  <c r="AA17" i="31"/>
  <c r="AA18" i="31"/>
  <c r="AA19" i="31"/>
  <c r="AA20" i="31"/>
  <c r="AA21" i="31"/>
  <c r="AA22" i="31"/>
  <c r="AA23" i="31"/>
  <c r="AA24" i="31"/>
  <c r="AA25" i="31"/>
  <c r="AA26" i="31"/>
  <c r="AA27" i="31"/>
  <c r="AA28" i="31"/>
  <c r="AA29" i="31"/>
  <c r="AA30" i="31"/>
  <c r="AA31" i="31"/>
  <c r="AA32" i="31"/>
  <c r="AA33" i="31"/>
  <c r="AA34" i="31"/>
  <c r="AA35" i="31"/>
  <c r="AA36" i="31"/>
  <c r="AA37" i="31"/>
  <c r="AA38" i="31"/>
  <c r="AA39" i="31"/>
  <c r="AA40" i="31"/>
  <c r="AA41" i="31"/>
  <c r="AA42" i="31"/>
  <c r="AA43" i="31"/>
  <c r="AA44" i="31"/>
  <c r="AA45" i="31"/>
  <c r="AA46" i="31"/>
  <c r="AA47" i="31"/>
  <c r="AA48" i="31"/>
  <c r="AA49" i="31"/>
  <c r="AA50" i="31"/>
  <c r="AA51" i="31"/>
  <c r="AA52" i="31"/>
  <c r="AA53" i="31"/>
  <c r="AA54" i="31"/>
  <c r="AA55" i="31"/>
  <c r="AA56" i="31"/>
  <c r="AA57" i="31"/>
  <c r="AA58" i="31"/>
  <c r="AA59" i="31"/>
  <c r="AA60" i="31"/>
  <c r="AA61" i="31"/>
  <c r="AA62" i="31"/>
  <c r="AA63" i="31"/>
  <c r="AA64" i="31"/>
  <c r="AA65" i="31"/>
  <c r="AA66" i="31"/>
  <c r="AA67" i="31"/>
  <c r="AA68" i="31"/>
  <c r="AA69" i="31"/>
  <c r="AA70" i="31"/>
  <c r="AA71" i="31"/>
  <c r="AA72" i="31"/>
  <c r="AA73" i="31"/>
  <c r="AA74" i="31"/>
  <c r="AA75" i="31"/>
  <c r="AA76" i="31"/>
  <c r="AA77" i="31"/>
  <c r="AA78" i="31"/>
  <c r="AA79" i="31"/>
  <c r="AA80" i="31"/>
  <c r="AA81" i="31"/>
  <c r="AA82" i="31"/>
  <c r="AA83" i="31"/>
  <c r="AA84" i="31"/>
  <c r="AA85" i="31"/>
  <c r="AA86" i="31"/>
  <c r="AA87" i="31"/>
  <c r="AA88" i="31"/>
  <c r="AA89" i="31"/>
  <c r="AA90" i="31"/>
  <c r="AA91" i="31"/>
  <c r="AA92" i="31"/>
  <c r="AA93" i="31"/>
  <c r="AA94" i="31"/>
  <c r="AA95" i="31"/>
  <c r="AA96" i="31"/>
  <c r="AA97" i="31"/>
  <c r="AA98" i="31"/>
  <c r="AA99" i="31"/>
  <c r="AA100" i="31"/>
  <c r="AA101" i="31"/>
  <c r="AA102" i="31"/>
  <c r="AA108" i="31"/>
  <c r="AB108" i="31" s="1"/>
  <c r="AA107" i="31"/>
  <c r="AA103" i="31"/>
  <c r="AA106" i="31"/>
  <c r="AB106" i="31" s="1"/>
  <c r="AA105" i="31"/>
  <c r="AA104" i="31"/>
  <c r="T107" i="33"/>
  <c r="S108" i="33" s="1"/>
  <c r="G106" i="32"/>
  <c r="H99" i="31"/>
  <c r="H100" i="33"/>
  <c r="G101" i="33" s="1"/>
  <c r="N99" i="31"/>
  <c r="K99" i="31"/>
  <c r="K100" i="33"/>
  <c r="Z107" i="33"/>
  <c r="N100" i="33"/>
  <c r="W107" i="33"/>
  <c r="AB107" i="31" l="1"/>
  <c r="Y106" i="31"/>
  <c r="Y104" i="31"/>
  <c r="AB105" i="31"/>
  <c r="Y107" i="31"/>
  <c r="AB104" i="31"/>
  <c r="AB24" i="31"/>
  <c r="Y96" i="31"/>
  <c r="Y84" i="31"/>
  <c r="Y72" i="31"/>
  <c r="Y60" i="31"/>
  <c r="Y48" i="31"/>
  <c r="Y24" i="31"/>
  <c r="Y10" i="31"/>
  <c r="AB36" i="31"/>
  <c r="AB8" i="31"/>
  <c r="AB84" i="31"/>
  <c r="Y36" i="31"/>
  <c r="AB71" i="31"/>
  <c r="Y59" i="31"/>
  <c r="AB70" i="31"/>
  <c r="AB58" i="31"/>
  <c r="AB46" i="31"/>
  <c r="AB34" i="31"/>
  <c r="AB22" i="31"/>
  <c r="AB11" i="31"/>
  <c r="Y103" i="31"/>
  <c r="Y94" i="31"/>
  <c r="Y82" i="31"/>
  <c r="Y70" i="31"/>
  <c r="Y58" i="31"/>
  <c r="Y46" i="31"/>
  <c r="Y34" i="31"/>
  <c r="Y22" i="31"/>
  <c r="Y9" i="31"/>
  <c r="AB60" i="31"/>
  <c r="AB35" i="31"/>
  <c r="Y95" i="31"/>
  <c r="AB94" i="31"/>
  <c r="AB93" i="31"/>
  <c r="AB81" i="31"/>
  <c r="AB69" i="31"/>
  <c r="AB57" i="31"/>
  <c r="AB45" i="31"/>
  <c r="AB33" i="31"/>
  <c r="AB21" i="31"/>
  <c r="AB10" i="31"/>
  <c r="Y105" i="31"/>
  <c r="Y93" i="31"/>
  <c r="Y81" i="31"/>
  <c r="Y69" i="31"/>
  <c r="Y57" i="31"/>
  <c r="Y45" i="31"/>
  <c r="Y33" i="31"/>
  <c r="Y21" i="31"/>
  <c r="Y11" i="31"/>
  <c r="AB83" i="31"/>
  <c r="Y35" i="31"/>
  <c r="AB44" i="31"/>
  <c r="AB32" i="31"/>
  <c r="AB20" i="31"/>
  <c r="AB9" i="31"/>
  <c r="Y92" i="31"/>
  <c r="Y80" i="31"/>
  <c r="Y68" i="31"/>
  <c r="Y56" i="31"/>
  <c r="Y44" i="31"/>
  <c r="Y32" i="31"/>
  <c r="Y20" i="31"/>
  <c r="Y8" i="31"/>
  <c r="AB23" i="31"/>
  <c r="AB82" i="31"/>
  <c r="AB79" i="31"/>
  <c r="AB67" i="31"/>
  <c r="AB55" i="31"/>
  <c r="AB43" i="31"/>
  <c r="AB31" i="31"/>
  <c r="AB19" i="31"/>
  <c r="Y91" i="31"/>
  <c r="Y79" i="31"/>
  <c r="Y67" i="31"/>
  <c r="Y55" i="31"/>
  <c r="Y43" i="31"/>
  <c r="Y31" i="31"/>
  <c r="Y19" i="31"/>
  <c r="AB96" i="31"/>
  <c r="AB47" i="31"/>
  <c r="Y71" i="31"/>
  <c r="AB92" i="31"/>
  <c r="AB78" i="31"/>
  <c r="AB66" i="31"/>
  <c r="AB54" i="31"/>
  <c r="AB42" i="31"/>
  <c r="AB30" i="31"/>
  <c r="AB18" i="31"/>
  <c r="Y102" i="31"/>
  <c r="Y90" i="31"/>
  <c r="Y78" i="31"/>
  <c r="Y66" i="31"/>
  <c r="Y54" i="31"/>
  <c r="Y42" i="31"/>
  <c r="Y30" i="31"/>
  <c r="Y18" i="31"/>
  <c r="Y23" i="31"/>
  <c r="AB80" i="31"/>
  <c r="AB102" i="31"/>
  <c r="AB90" i="31"/>
  <c r="AB101" i="31"/>
  <c r="AB89" i="31"/>
  <c r="AB77" i="31"/>
  <c r="AB65" i="31"/>
  <c r="AB53" i="31"/>
  <c r="AB41" i="31"/>
  <c r="AB29" i="31"/>
  <c r="AB17" i="31"/>
  <c r="Y101" i="31"/>
  <c r="Y89" i="31"/>
  <c r="Y77" i="31"/>
  <c r="Y65" i="31"/>
  <c r="Y53" i="31"/>
  <c r="Y41" i="31"/>
  <c r="Y29" i="31"/>
  <c r="Y17" i="31"/>
  <c r="AB59" i="31"/>
  <c r="Y83" i="31"/>
  <c r="AB56" i="31"/>
  <c r="AB64" i="31"/>
  <c r="AB52" i="31"/>
  <c r="AB40" i="31"/>
  <c r="AB28" i="31"/>
  <c r="AB16" i="31"/>
  <c r="Y100" i="31"/>
  <c r="Y88" i="31"/>
  <c r="Y76" i="31"/>
  <c r="Y64" i="31"/>
  <c r="Y52" i="31"/>
  <c r="Y40" i="31"/>
  <c r="Y28" i="31"/>
  <c r="Y16" i="31"/>
  <c r="AB72" i="31"/>
  <c r="Y12" i="31"/>
  <c r="AB91" i="31"/>
  <c r="AB100" i="31"/>
  <c r="AB99" i="31"/>
  <c r="AB87" i="31"/>
  <c r="AB75" i="31"/>
  <c r="AB63" i="31"/>
  <c r="AB51" i="31"/>
  <c r="AB39" i="31"/>
  <c r="AB27" i="31"/>
  <c r="AB15" i="31"/>
  <c r="Y99" i="31"/>
  <c r="Y87" i="31"/>
  <c r="Y75" i="31"/>
  <c r="Y63" i="31"/>
  <c r="Y51" i="31"/>
  <c r="Y39" i="31"/>
  <c r="Y27" i="31"/>
  <c r="Y15" i="31"/>
  <c r="AB13" i="31"/>
  <c r="AB95" i="31"/>
  <c r="AB103" i="31"/>
  <c r="AB88" i="31"/>
  <c r="AB86" i="31"/>
  <c r="AB74" i="31"/>
  <c r="AB62" i="31"/>
  <c r="AB50" i="31"/>
  <c r="AB38" i="31"/>
  <c r="AB26" i="31"/>
  <c r="AB14" i="31"/>
  <c r="Y98" i="31"/>
  <c r="Y86" i="31"/>
  <c r="Y74" i="31"/>
  <c r="Y62" i="31"/>
  <c r="Y50" i="31"/>
  <c r="Y38" i="31"/>
  <c r="Y26" i="31"/>
  <c r="Y14" i="31"/>
  <c r="AB48" i="31"/>
  <c r="Y47" i="31"/>
  <c r="AB68" i="31"/>
  <c r="AB76" i="31"/>
  <c r="AB98" i="31"/>
  <c r="AB97" i="31"/>
  <c r="AB85" i="31"/>
  <c r="AB73" i="31"/>
  <c r="AB61" i="31"/>
  <c r="AB49" i="31"/>
  <c r="AB37" i="31"/>
  <c r="AB25" i="31"/>
  <c r="AB12" i="31"/>
  <c r="Y97" i="31"/>
  <c r="Y85" i="31"/>
  <c r="Y73" i="31"/>
  <c r="Y61" i="31"/>
  <c r="Y49" i="31"/>
  <c r="Y37" i="31"/>
  <c r="Y25" i="31"/>
  <c r="Y13" i="31"/>
  <c r="H101" i="33"/>
  <c r="G102" i="33"/>
  <c r="G100" i="31"/>
  <c r="H106" i="32"/>
  <c r="T108" i="33"/>
  <c r="S109" i="33" s="1"/>
  <c r="N106" i="32"/>
  <c r="K101" i="33"/>
  <c r="K106" i="32"/>
  <c r="W108" i="33"/>
  <c r="N101" i="33"/>
  <c r="Z108" i="33"/>
  <c r="T109" i="33" l="1"/>
  <c r="G107" i="32"/>
  <c r="H100" i="31"/>
  <c r="H102" i="33"/>
  <c r="G103" i="33" s="1"/>
  <c r="K100" i="31"/>
  <c r="N100" i="31"/>
  <c r="Z109" i="33"/>
  <c r="N102" i="33"/>
  <c r="K102" i="33"/>
  <c r="W109" i="33"/>
  <c r="X109" i="33" l="1"/>
  <c r="Y109" i="33" s="1"/>
  <c r="X8" i="33"/>
  <c r="X10" i="33"/>
  <c r="X11" i="33"/>
  <c r="X12" i="33"/>
  <c r="X9" i="33"/>
  <c r="X13" i="33"/>
  <c r="X14" i="33"/>
  <c r="X15" i="33"/>
  <c r="X16" i="33"/>
  <c r="X17" i="33"/>
  <c r="X18" i="33"/>
  <c r="X19" i="33"/>
  <c r="X20" i="33"/>
  <c r="X21" i="33"/>
  <c r="X22" i="33"/>
  <c r="X23" i="33"/>
  <c r="X24" i="33"/>
  <c r="X25" i="33"/>
  <c r="X26" i="33"/>
  <c r="X27" i="33"/>
  <c r="X28" i="33"/>
  <c r="X29" i="33"/>
  <c r="X30" i="33"/>
  <c r="X31" i="33"/>
  <c r="X32" i="33"/>
  <c r="X33" i="33"/>
  <c r="X34" i="33"/>
  <c r="X35" i="33"/>
  <c r="X36" i="33"/>
  <c r="X37" i="33"/>
  <c r="X38" i="33"/>
  <c r="X39" i="33"/>
  <c r="X40" i="33"/>
  <c r="X41" i="33"/>
  <c r="X42" i="33"/>
  <c r="X43" i="33"/>
  <c r="X44" i="33"/>
  <c r="X45" i="33"/>
  <c r="X46" i="33"/>
  <c r="X47" i="33"/>
  <c r="X48" i="33"/>
  <c r="X49" i="33"/>
  <c r="X50" i="33"/>
  <c r="X51" i="33"/>
  <c r="X52" i="33"/>
  <c r="X53" i="33"/>
  <c r="X54" i="33"/>
  <c r="X55" i="33"/>
  <c r="X56" i="33"/>
  <c r="X57" i="33"/>
  <c r="X58" i="33"/>
  <c r="X59" i="33"/>
  <c r="X60" i="33"/>
  <c r="X61" i="33"/>
  <c r="X62" i="33"/>
  <c r="X63" i="33"/>
  <c r="X64" i="33"/>
  <c r="X65" i="33"/>
  <c r="X66" i="33"/>
  <c r="X67" i="33"/>
  <c r="X68" i="33"/>
  <c r="X69" i="33"/>
  <c r="X70" i="33"/>
  <c r="X71" i="33"/>
  <c r="X72" i="33"/>
  <c r="X73" i="33"/>
  <c r="X74" i="33"/>
  <c r="X75" i="33"/>
  <c r="X76" i="33"/>
  <c r="X77" i="33"/>
  <c r="X78" i="33"/>
  <c r="X79" i="33"/>
  <c r="X80" i="33"/>
  <c r="X81" i="33"/>
  <c r="X82" i="33"/>
  <c r="X83" i="33"/>
  <c r="X84" i="33"/>
  <c r="X85" i="33"/>
  <c r="X86" i="33"/>
  <c r="X87" i="33"/>
  <c r="X88" i="33"/>
  <c r="X89" i="33"/>
  <c r="X90" i="33"/>
  <c r="X91" i="33"/>
  <c r="X92" i="33"/>
  <c r="X93" i="33"/>
  <c r="X94" i="33"/>
  <c r="X95" i="33"/>
  <c r="X96" i="33"/>
  <c r="X97" i="33"/>
  <c r="X98" i="33"/>
  <c r="X99" i="33"/>
  <c r="X100" i="33"/>
  <c r="X101" i="33"/>
  <c r="X102" i="33"/>
  <c r="X108" i="33"/>
  <c r="Y108" i="33" s="1"/>
  <c r="X107" i="33"/>
  <c r="X106" i="33"/>
  <c r="X105" i="33"/>
  <c r="X103" i="33"/>
  <c r="X104" i="33"/>
  <c r="AA109" i="33"/>
  <c r="AB109" i="33" s="1"/>
  <c r="AA12" i="33"/>
  <c r="AA9" i="33"/>
  <c r="AA10" i="33"/>
  <c r="AA8" i="33"/>
  <c r="AA11" i="33"/>
  <c r="AA13" i="33"/>
  <c r="AA14" i="33"/>
  <c r="AA15" i="33"/>
  <c r="AA16" i="33"/>
  <c r="AA17" i="33"/>
  <c r="AA18" i="33"/>
  <c r="AA19" i="33"/>
  <c r="AA20" i="33"/>
  <c r="AA21" i="33"/>
  <c r="AA22" i="33"/>
  <c r="AA23" i="33"/>
  <c r="AA24" i="33"/>
  <c r="AA25" i="33"/>
  <c r="AA26" i="33"/>
  <c r="AA27" i="33"/>
  <c r="AA28" i="33"/>
  <c r="AA29" i="33"/>
  <c r="AA30" i="33"/>
  <c r="AA31" i="33"/>
  <c r="AA32" i="33"/>
  <c r="AA33" i="33"/>
  <c r="AA34" i="33"/>
  <c r="AA35" i="33"/>
  <c r="AA36" i="33"/>
  <c r="AA37" i="33"/>
  <c r="AA38" i="33"/>
  <c r="AA39" i="33"/>
  <c r="AA40" i="33"/>
  <c r="AA41" i="33"/>
  <c r="AA42" i="33"/>
  <c r="AA43" i="33"/>
  <c r="AA44" i="33"/>
  <c r="AA45" i="33"/>
  <c r="AA46" i="33"/>
  <c r="AA47" i="33"/>
  <c r="AA48" i="33"/>
  <c r="AA49" i="33"/>
  <c r="AA50" i="33"/>
  <c r="AA51" i="33"/>
  <c r="AA52" i="33"/>
  <c r="AA53" i="33"/>
  <c r="AA54" i="33"/>
  <c r="AA55" i="33"/>
  <c r="AA56" i="33"/>
  <c r="AA57" i="33"/>
  <c r="AA58" i="33"/>
  <c r="AA59" i="33"/>
  <c r="AA60" i="33"/>
  <c r="AA61" i="33"/>
  <c r="AA62" i="33"/>
  <c r="AA63" i="33"/>
  <c r="AA64" i="33"/>
  <c r="AA65" i="33"/>
  <c r="AA66" i="33"/>
  <c r="AA67" i="33"/>
  <c r="AA68" i="33"/>
  <c r="AA69" i="33"/>
  <c r="AA70" i="33"/>
  <c r="AA71" i="33"/>
  <c r="AA72" i="33"/>
  <c r="AA73" i="33"/>
  <c r="AA74" i="33"/>
  <c r="AA75" i="33"/>
  <c r="AA76" i="33"/>
  <c r="AA77" i="33"/>
  <c r="AA78" i="33"/>
  <c r="AA79" i="33"/>
  <c r="AA80" i="33"/>
  <c r="AA81" i="33"/>
  <c r="AA82" i="33"/>
  <c r="AA83" i="33"/>
  <c r="AA84" i="33"/>
  <c r="AA85" i="33"/>
  <c r="AA86" i="33"/>
  <c r="AA87" i="33"/>
  <c r="AA88" i="33"/>
  <c r="AA89" i="33"/>
  <c r="AA90" i="33"/>
  <c r="AA91" i="33"/>
  <c r="AA92" i="33"/>
  <c r="AA93" i="33"/>
  <c r="AA94" i="33"/>
  <c r="AA95" i="33"/>
  <c r="AA96" i="33"/>
  <c r="AA97" i="33"/>
  <c r="AA98" i="33"/>
  <c r="AA99" i="33"/>
  <c r="AA100" i="33"/>
  <c r="AA101" i="33"/>
  <c r="AA102" i="33"/>
  <c r="AA108" i="33"/>
  <c r="AB108" i="33" s="1"/>
  <c r="AA103" i="33"/>
  <c r="AA106" i="33"/>
  <c r="AA104" i="33"/>
  <c r="AA107" i="33"/>
  <c r="AB107" i="33" s="1"/>
  <c r="AA105" i="33"/>
  <c r="H103" i="33"/>
  <c r="G101" i="31"/>
  <c r="H107" i="32"/>
  <c r="N103" i="33"/>
  <c r="K103" i="33"/>
  <c r="N107" i="32"/>
  <c r="K107" i="32"/>
  <c r="Y102" i="33" l="1"/>
  <c r="Y107" i="33"/>
  <c r="Y104" i="33"/>
  <c r="Y101" i="33"/>
  <c r="Y106" i="33"/>
  <c r="Y103" i="33"/>
  <c r="Y77" i="33"/>
  <c r="Y65" i="33"/>
  <c r="Y53" i="33"/>
  <c r="Y41" i="33"/>
  <c r="Y29" i="33"/>
  <c r="Y17" i="33"/>
  <c r="AB95" i="33"/>
  <c r="Y105" i="33"/>
  <c r="AB23" i="33"/>
  <c r="AB8" i="33"/>
  <c r="AB105" i="33"/>
  <c r="AB96" i="33"/>
  <c r="AB84" i="33"/>
  <c r="AB72" i="33"/>
  <c r="AB60" i="33"/>
  <c r="AB48" i="33"/>
  <c r="AB36" i="33"/>
  <c r="AB24" i="33"/>
  <c r="AB11" i="33"/>
  <c r="Y90" i="33"/>
  <c r="Y78" i="33"/>
  <c r="Y66" i="33"/>
  <c r="Y54" i="33"/>
  <c r="Y42" i="33"/>
  <c r="Y30" i="33"/>
  <c r="Y18" i="33"/>
  <c r="AB71" i="33"/>
  <c r="AB22" i="33"/>
  <c r="Y64" i="33"/>
  <c r="AB69" i="33"/>
  <c r="AB57" i="33"/>
  <c r="AB45" i="33"/>
  <c r="AB33" i="33"/>
  <c r="AB21" i="33"/>
  <c r="AB9" i="33"/>
  <c r="Y99" i="33"/>
  <c r="Y87" i="33"/>
  <c r="Y75" i="33"/>
  <c r="Y63" i="33"/>
  <c r="Y51" i="33"/>
  <c r="Y39" i="33"/>
  <c r="Y27" i="33"/>
  <c r="Y15" i="33"/>
  <c r="AB59" i="33"/>
  <c r="AB10" i="33"/>
  <c r="AB44" i="33"/>
  <c r="AB32" i="33"/>
  <c r="AB20" i="33"/>
  <c r="AB12" i="33"/>
  <c r="Y98" i="33"/>
  <c r="Y86" i="33"/>
  <c r="Y74" i="33"/>
  <c r="Y62" i="33"/>
  <c r="Y50" i="33"/>
  <c r="Y38" i="33"/>
  <c r="Y26" i="33"/>
  <c r="Y14" i="33"/>
  <c r="AB82" i="33"/>
  <c r="Y28" i="33"/>
  <c r="AB93" i="33"/>
  <c r="AB67" i="33"/>
  <c r="AB55" i="33"/>
  <c r="AB43" i="33"/>
  <c r="AB31" i="33"/>
  <c r="AB19" i="33"/>
  <c r="Y97" i="33"/>
  <c r="Y85" i="33"/>
  <c r="Y73" i="33"/>
  <c r="Y61" i="33"/>
  <c r="Y49" i="33"/>
  <c r="Y37" i="33"/>
  <c r="Y25" i="33"/>
  <c r="Y13" i="33"/>
  <c r="AB83" i="33"/>
  <c r="AB70" i="33"/>
  <c r="AB80" i="33"/>
  <c r="AB79" i="33"/>
  <c r="AB102" i="33"/>
  <c r="AB90" i="33"/>
  <c r="AB78" i="33"/>
  <c r="AB66" i="33"/>
  <c r="AB54" i="33"/>
  <c r="AB42" i="33"/>
  <c r="AB30" i="33"/>
  <c r="AB18" i="33"/>
  <c r="Y96" i="33"/>
  <c r="Y84" i="33"/>
  <c r="Y72" i="33"/>
  <c r="Y60" i="33"/>
  <c r="Y48" i="33"/>
  <c r="Y36" i="33"/>
  <c r="Y24" i="33"/>
  <c r="Y9" i="33"/>
  <c r="AB46" i="33"/>
  <c r="Y76" i="33"/>
  <c r="AB106" i="33"/>
  <c r="AB92" i="33"/>
  <c r="AB101" i="33"/>
  <c r="AB53" i="33"/>
  <c r="AB41" i="33"/>
  <c r="AB29" i="33"/>
  <c r="AB17" i="33"/>
  <c r="Y95" i="33"/>
  <c r="Y83" i="33"/>
  <c r="Y71" i="33"/>
  <c r="Y59" i="33"/>
  <c r="Y47" i="33"/>
  <c r="Y35" i="33"/>
  <c r="Y23" i="33"/>
  <c r="Y12" i="33"/>
  <c r="AB58" i="33"/>
  <c r="Y52" i="33"/>
  <c r="AB81" i="33"/>
  <c r="AB91" i="33"/>
  <c r="AB89" i="33"/>
  <c r="AB100" i="33"/>
  <c r="AB88" i="33"/>
  <c r="AB76" i="33"/>
  <c r="AB64" i="33"/>
  <c r="AB52" i="33"/>
  <c r="AB40" i="33"/>
  <c r="AB28" i="33"/>
  <c r="AB16" i="33"/>
  <c r="Y94" i="33"/>
  <c r="Y82" i="33"/>
  <c r="Y70" i="33"/>
  <c r="Y58" i="33"/>
  <c r="Y46" i="33"/>
  <c r="Y34" i="33"/>
  <c r="Y22" i="33"/>
  <c r="Y11" i="33"/>
  <c r="AB35" i="33"/>
  <c r="Y89" i="33"/>
  <c r="AB94" i="33"/>
  <c r="Y16" i="33"/>
  <c r="AB103" i="33"/>
  <c r="AB99" i="33"/>
  <c r="AB87" i="33"/>
  <c r="AB75" i="33"/>
  <c r="AB63" i="33"/>
  <c r="AB51" i="33"/>
  <c r="AB39" i="33"/>
  <c r="AB27" i="33"/>
  <c r="AB15" i="33"/>
  <c r="Y93" i="33"/>
  <c r="Y81" i="33"/>
  <c r="Y69" i="33"/>
  <c r="Y57" i="33"/>
  <c r="Y45" i="33"/>
  <c r="Y33" i="33"/>
  <c r="Y21" i="33"/>
  <c r="Y10" i="33"/>
  <c r="AB47" i="33"/>
  <c r="AB104" i="33"/>
  <c r="Y40" i="33"/>
  <c r="AB68" i="33"/>
  <c r="AB65" i="33"/>
  <c r="AB98" i="33"/>
  <c r="AB74" i="33"/>
  <c r="AB62" i="33"/>
  <c r="AB50" i="33"/>
  <c r="AB38" i="33"/>
  <c r="AB26" i="33"/>
  <c r="AB14" i="33"/>
  <c r="Y92" i="33"/>
  <c r="Y80" i="33"/>
  <c r="Y68" i="33"/>
  <c r="Y56" i="33"/>
  <c r="Y44" i="33"/>
  <c r="Y32" i="33"/>
  <c r="Y20" i="33"/>
  <c r="Y8" i="33"/>
  <c r="AB34" i="33"/>
  <c r="Y100" i="33"/>
  <c r="Y88" i="33"/>
  <c r="AB56" i="33"/>
  <c r="AB77" i="33"/>
  <c r="AB86" i="33"/>
  <c r="AB97" i="33"/>
  <c r="AB85" i="33"/>
  <c r="AB73" i="33"/>
  <c r="AB61" i="33"/>
  <c r="AB49" i="33"/>
  <c r="AB37" i="33"/>
  <c r="AB25" i="33"/>
  <c r="AB13" i="33"/>
  <c r="Y91" i="33"/>
  <c r="Y79" i="33"/>
  <c r="Y67" i="33"/>
  <c r="Y55" i="33"/>
  <c r="Y43" i="33"/>
  <c r="Y31" i="33"/>
  <c r="Y19" i="33"/>
  <c r="G108" i="32"/>
  <c r="H101" i="31"/>
  <c r="G104" i="33"/>
  <c r="N101" i="31"/>
  <c r="K101" i="31"/>
  <c r="H104" i="33" l="1"/>
  <c r="G105" i="33" s="1"/>
  <c r="G102" i="31"/>
  <c r="H108" i="32"/>
  <c r="G109" i="32" s="1"/>
  <c r="N104" i="33"/>
  <c r="K104" i="33"/>
  <c r="N108" i="32"/>
  <c r="K108" i="32"/>
  <c r="H109" i="32" l="1"/>
  <c r="H102" i="31"/>
  <c r="G103" i="31" s="1"/>
  <c r="H105" i="33"/>
  <c r="N109" i="32"/>
  <c r="N105" i="33"/>
  <c r="K102" i="31"/>
  <c r="K105" i="33"/>
  <c r="N102" i="31"/>
  <c r="K109" i="32"/>
  <c r="L109" i="32" l="1"/>
  <c r="M109" i="32" s="1"/>
  <c r="L12" i="32"/>
  <c r="L10" i="32"/>
  <c r="L9" i="32"/>
  <c r="L8" i="32"/>
  <c r="L11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8" i="32"/>
  <c r="L79" i="32"/>
  <c r="L80" i="32"/>
  <c r="L81" i="32"/>
  <c r="L82" i="32"/>
  <c r="L83" i="32"/>
  <c r="L84" i="32"/>
  <c r="L85" i="32"/>
  <c r="L86" i="32"/>
  <c r="L87" i="32"/>
  <c r="L88" i="32"/>
  <c r="L89" i="32"/>
  <c r="L90" i="32"/>
  <c r="L91" i="32"/>
  <c r="L92" i="32"/>
  <c r="L93" i="32"/>
  <c r="L94" i="32"/>
  <c r="L95" i="32"/>
  <c r="L96" i="32"/>
  <c r="L97" i="32"/>
  <c r="L98" i="32"/>
  <c r="L99" i="32"/>
  <c r="L100" i="32"/>
  <c r="L101" i="32"/>
  <c r="L102" i="32"/>
  <c r="L108" i="32"/>
  <c r="M108" i="32" s="1"/>
  <c r="L107" i="32"/>
  <c r="L105" i="32"/>
  <c r="L106" i="32"/>
  <c r="L104" i="32"/>
  <c r="L103" i="32"/>
  <c r="O109" i="32"/>
  <c r="P109" i="32" s="1"/>
  <c r="O12" i="32"/>
  <c r="O10" i="32"/>
  <c r="O11" i="32"/>
  <c r="O8" i="32"/>
  <c r="O9" i="32"/>
  <c r="O13" i="32"/>
  <c r="O14" i="32"/>
  <c r="O15" i="32"/>
  <c r="O16" i="32"/>
  <c r="O17" i="32"/>
  <c r="O18" i="32"/>
  <c r="O19" i="32"/>
  <c r="O20" i="32"/>
  <c r="O21" i="32"/>
  <c r="O22" i="32"/>
  <c r="O23" i="32"/>
  <c r="O24" i="32"/>
  <c r="O25" i="32"/>
  <c r="O26" i="32"/>
  <c r="O27" i="32"/>
  <c r="O28" i="32"/>
  <c r="O29" i="32"/>
  <c r="O30" i="32"/>
  <c r="O31" i="32"/>
  <c r="O32" i="32"/>
  <c r="O33" i="32"/>
  <c r="O34" i="32"/>
  <c r="O35" i="32"/>
  <c r="O36" i="32"/>
  <c r="O37" i="32"/>
  <c r="O38" i="32"/>
  <c r="O39" i="32"/>
  <c r="O40" i="32"/>
  <c r="O41" i="32"/>
  <c r="O42" i="32"/>
  <c r="O43" i="32"/>
  <c r="O44" i="32"/>
  <c r="O45" i="32"/>
  <c r="O46" i="32"/>
  <c r="O47" i="32"/>
  <c r="O48" i="32"/>
  <c r="O49" i="32"/>
  <c r="O50" i="32"/>
  <c r="O51" i="32"/>
  <c r="O52" i="32"/>
  <c r="O53" i="32"/>
  <c r="O54" i="32"/>
  <c r="O55" i="32"/>
  <c r="O56" i="32"/>
  <c r="O57" i="32"/>
  <c r="O58" i="32"/>
  <c r="O59" i="32"/>
  <c r="O60" i="32"/>
  <c r="O61" i="32"/>
  <c r="O62" i="32"/>
  <c r="O63" i="32"/>
  <c r="O64" i="32"/>
  <c r="O65" i="32"/>
  <c r="O66" i="32"/>
  <c r="O67" i="32"/>
  <c r="O68" i="32"/>
  <c r="O69" i="32"/>
  <c r="O70" i="32"/>
  <c r="O71" i="32"/>
  <c r="O72" i="32"/>
  <c r="O73" i="32"/>
  <c r="O74" i="32"/>
  <c r="O75" i="32"/>
  <c r="O76" i="32"/>
  <c r="O77" i="32"/>
  <c r="O78" i="32"/>
  <c r="O79" i="32"/>
  <c r="O80" i="32"/>
  <c r="O81" i="32"/>
  <c r="O82" i="32"/>
  <c r="O83" i="32"/>
  <c r="O84" i="32"/>
  <c r="O85" i="32"/>
  <c r="O86" i="32"/>
  <c r="O87" i="32"/>
  <c r="O88" i="32"/>
  <c r="O89" i="32"/>
  <c r="O90" i="32"/>
  <c r="O91" i="32"/>
  <c r="O92" i="32"/>
  <c r="O93" i="32"/>
  <c r="O94" i="32"/>
  <c r="O95" i="32"/>
  <c r="O96" i="32"/>
  <c r="O97" i="32"/>
  <c r="O98" i="32"/>
  <c r="O99" i="32"/>
  <c r="O100" i="32"/>
  <c r="O101" i="32"/>
  <c r="O102" i="32"/>
  <c r="O103" i="32"/>
  <c r="O105" i="32"/>
  <c r="O106" i="32"/>
  <c r="O108" i="32"/>
  <c r="P108" i="32" s="1"/>
  <c r="O107" i="32"/>
  <c r="O104" i="32"/>
  <c r="H103" i="31"/>
  <c r="G104" i="31" s="1"/>
  <c r="G106" i="33"/>
  <c r="K103" i="31"/>
  <c r="N103" i="31"/>
  <c r="M107" i="32" l="1"/>
  <c r="M106" i="32"/>
  <c r="P107" i="32"/>
  <c r="M104" i="32"/>
  <c r="P59" i="32"/>
  <c r="P8" i="32"/>
  <c r="M95" i="32"/>
  <c r="M83" i="32"/>
  <c r="M71" i="32"/>
  <c r="M59" i="32"/>
  <c r="M47" i="32"/>
  <c r="M35" i="32"/>
  <c r="M23" i="32"/>
  <c r="M8" i="32"/>
  <c r="P95" i="32"/>
  <c r="P23" i="32"/>
  <c r="P104" i="32"/>
  <c r="P96" i="32"/>
  <c r="P84" i="32"/>
  <c r="P72" i="32"/>
  <c r="P60" i="32"/>
  <c r="P48" i="32"/>
  <c r="P36" i="32"/>
  <c r="P24" i="32"/>
  <c r="P9" i="32"/>
  <c r="M103" i="32"/>
  <c r="M96" i="32"/>
  <c r="M84" i="32"/>
  <c r="M72" i="32"/>
  <c r="M60" i="32"/>
  <c r="M48" i="32"/>
  <c r="M36" i="32"/>
  <c r="M24" i="32"/>
  <c r="M11" i="32"/>
  <c r="P71" i="32"/>
  <c r="P94" i="32"/>
  <c r="P22" i="32"/>
  <c r="P106" i="32"/>
  <c r="P45" i="32"/>
  <c r="P33" i="32"/>
  <c r="P21" i="32"/>
  <c r="P10" i="32"/>
  <c r="M105" i="32"/>
  <c r="M93" i="32"/>
  <c r="M81" i="32"/>
  <c r="M69" i="32"/>
  <c r="M57" i="32"/>
  <c r="M45" i="32"/>
  <c r="M33" i="32"/>
  <c r="M21" i="32"/>
  <c r="M10" i="32"/>
  <c r="P47" i="32"/>
  <c r="P70" i="32"/>
  <c r="M46" i="32"/>
  <c r="P105" i="32"/>
  <c r="P32" i="32"/>
  <c r="P20" i="32"/>
  <c r="P12" i="32"/>
  <c r="M92" i="32"/>
  <c r="M80" i="32"/>
  <c r="M68" i="32"/>
  <c r="M56" i="32"/>
  <c r="M44" i="32"/>
  <c r="M32" i="32"/>
  <c r="M20" i="32"/>
  <c r="M12" i="32"/>
  <c r="P11" i="32"/>
  <c r="M82" i="32"/>
  <c r="P57" i="32"/>
  <c r="P103" i="32"/>
  <c r="P79" i="32"/>
  <c r="P67" i="32"/>
  <c r="P55" i="32"/>
  <c r="P43" i="32"/>
  <c r="P31" i="32"/>
  <c r="P19" i="32"/>
  <c r="M91" i="32"/>
  <c r="M79" i="32"/>
  <c r="M67" i="32"/>
  <c r="M55" i="32"/>
  <c r="M43" i="32"/>
  <c r="M31" i="32"/>
  <c r="M19" i="32"/>
  <c r="P46" i="32"/>
  <c r="M70" i="32"/>
  <c r="P93" i="32"/>
  <c r="P80" i="32"/>
  <c r="P78" i="32"/>
  <c r="P66" i="32"/>
  <c r="P54" i="32"/>
  <c r="P42" i="32"/>
  <c r="P30" i="32"/>
  <c r="P18" i="32"/>
  <c r="M102" i="32"/>
  <c r="M90" i="32"/>
  <c r="M78" i="32"/>
  <c r="M66" i="32"/>
  <c r="M54" i="32"/>
  <c r="M42" i="32"/>
  <c r="M30" i="32"/>
  <c r="M18" i="32"/>
  <c r="P34" i="32"/>
  <c r="M94" i="32"/>
  <c r="P81" i="32"/>
  <c r="P92" i="32"/>
  <c r="P101" i="32"/>
  <c r="P65" i="32"/>
  <c r="P53" i="32"/>
  <c r="P41" i="32"/>
  <c r="P29" i="32"/>
  <c r="P17" i="32"/>
  <c r="M101" i="32"/>
  <c r="M89" i="32"/>
  <c r="M77" i="32"/>
  <c r="M65" i="32"/>
  <c r="M53" i="32"/>
  <c r="M41" i="32"/>
  <c r="M29" i="32"/>
  <c r="M17" i="32"/>
  <c r="P35" i="32"/>
  <c r="M9" i="32"/>
  <c r="P68" i="32"/>
  <c r="P102" i="32"/>
  <c r="P77" i="32"/>
  <c r="P100" i="32"/>
  <c r="P88" i="32"/>
  <c r="P76" i="32"/>
  <c r="P64" i="32"/>
  <c r="P52" i="32"/>
  <c r="P40" i="32"/>
  <c r="P28" i="32"/>
  <c r="P16" i="32"/>
  <c r="M100" i="32"/>
  <c r="M88" i="32"/>
  <c r="M76" i="32"/>
  <c r="M64" i="32"/>
  <c r="M52" i="32"/>
  <c r="M40" i="32"/>
  <c r="M28" i="32"/>
  <c r="M16" i="32"/>
  <c r="P83" i="32"/>
  <c r="P58" i="32"/>
  <c r="M58" i="32"/>
  <c r="P69" i="32"/>
  <c r="P91" i="32"/>
  <c r="P87" i="32"/>
  <c r="P75" i="32"/>
  <c r="P63" i="32"/>
  <c r="P51" i="32"/>
  <c r="P39" i="32"/>
  <c r="P27" i="32"/>
  <c r="P15" i="32"/>
  <c r="M99" i="32"/>
  <c r="M87" i="32"/>
  <c r="M75" i="32"/>
  <c r="M63" i="32"/>
  <c r="M51" i="32"/>
  <c r="M39" i="32"/>
  <c r="M27" i="32"/>
  <c r="M15" i="32"/>
  <c r="M22" i="32"/>
  <c r="P56" i="32"/>
  <c r="P90" i="32"/>
  <c r="P99" i="32"/>
  <c r="P86" i="32"/>
  <c r="P74" i="32"/>
  <c r="P62" i="32"/>
  <c r="P50" i="32"/>
  <c r="P38" i="32"/>
  <c r="P26" i="32"/>
  <c r="P14" i="32"/>
  <c r="M98" i="32"/>
  <c r="M86" i="32"/>
  <c r="M74" i="32"/>
  <c r="M62" i="32"/>
  <c r="M50" i="32"/>
  <c r="M38" i="32"/>
  <c r="M26" i="32"/>
  <c r="M14" i="32"/>
  <c r="P82" i="32"/>
  <c r="M34" i="32"/>
  <c r="P44" i="32"/>
  <c r="P89" i="32"/>
  <c r="P98" i="32"/>
  <c r="P97" i="32"/>
  <c r="P85" i="32"/>
  <c r="P73" i="32"/>
  <c r="P61" i="32"/>
  <c r="P49" i="32"/>
  <c r="P37" i="32"/>
  <c r="P25" i="32"/>
  <c r="P13" i="32"/>
  <c r="M97" i="32"/>
  <c r="M85" i="32"/>
  <c r="M73" i="32"/>
  <c r="M61" i="32"/>
  <c r="M49" i="32"/>
  <c r="M37" i="32"/>
  <c r="M25" i="32"/>
  <c r="M13" i="32"/>
  <c r="H106" i="33"/>
  <c r="G107" i="33" s="1"/>
  <c r="H104" i="31"/>
  <c r="G105" i="31" s="1"/>
  <c r="N104" i="31"/>
  <c r="K106" i="33"/>
  <c r="N106" i="33"/>
  <c r="K104" i="31"/>
  <c r="H105" i="31" l="1"/>
  <c r="G106" i="31" s="1"/>
  <c r="H107" i="33"/>
  <c r="G108" i="33" s="1"/>
  <c r="K107" i="33"/>
  <c r="N107" i="33"/>
  <c r="N105" i="31"/>
  <c r="K105" i="31"/>
  <c r="H106" i="31" l="1"/>
  <c r="G107" i="31" s="1"/>
  <c r="H108" i="33"/>
  <c r="G109" i="33" s="1"/>
  <c r="K106" i="31"/>
  <c r="K108" i="33"/>
  <c r="N108" i="33"/>
  <c r="N106" i="31"/>
  <c r="H109" i="33" l="1"/>
  <c r="H107" i="31"/>
  <c r="G108" i="31" s="1"/>
  <c r="N107" i="31"/>
  <c r="K109" i="33"/>
  <c r="N109" i="33"/>
  <c r="K107" i="31"/>
  <c r="L109" i="33" l="1"/>
  <c r="M109" i="33" s="1"/>
  <c r="L10" i="33"/>
  <c r="L8" i="33"/>
  <c r="L9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83" i="33"/>
  <c r="L84" i="33"/>
  <c r="L85" i="33"/>
  <c r="L86" i="33"/>
  <c r="L87" i="33"/>
  <c r="L88" i="33"/>
  <c r="L89" i="33"/>
  <c r="L90" i="33"/>
  <c r="L91" i="33"/>
  <c r="L92" i="33"/>
  <c r="L93" i="33"/>
  <c r="L94" i="33"/>
  <c r="L95" i="33"/>
  <c r="L96" i="33"/>
  <c r="L97" i="33"/>
  <c r="L98" i="33"/>
  <c r="L99" i="33"/>
  <c r="L100" i="33"/>
  <c r="L101" i="33"/>
  <c r="L102" i="33"/>
  <c r="L108" i="33"/>
  <c r="M108" i="33" s="1"/>
  <c r="L107" i="33"/>
  <c r="L106" i="33"/>
  <c r="L105" i="33"/>
  <c r="L104" i="33"/>
  <c r="L103" i="33"/>
  <c r="O109" i="33"/>
  <c r="P109" i="33" s="1"/>
  <c r="O10" i="33"/>
  <c r="O11" i="33"/>
  <c r="O8" i="33"/>
  <c r="O9" i="33"/>
  <c r="O12" i="33"/>
  <c r="O13" i="33"/>
  <c r="O14" i="33"/>
  <c r="O15" i="33"/>
  <c r="O16" i="33"/>
  <c r="O17" i="33"/>
  <c r="O18" i="33"/>
  <c r="O19" i="33"/>
  <c r="O20" i="33"/>
  <c r="O21" i="33"/>
  <c r="O22" i="33"/>
  <c r="O23" i="33"/>
  <c r="O24" i="33"/>
  <c r="O25" i="33"/>
  <c r="O26" i="33"/>
  <c r="O27" i="33"/>
  <c r="O28" i="33"/>
  <c r="O29" i="33"/>
  <c r="O30" i="33"/>
  <c r="O31" i="33"/>
  <c r="O32" i="33"/>
  <c r="O33" i="33"/>
  <c r="O34" i="33"/>
  <c r="O35" i="33"/>
  <c r="O36" i="33"/>
  <c r="O37" i="33"/>
  <c r="O38" i="33"/>
  <c r="O39" i="33"/>
  <c r="O40" i="33"/>
  <c r="O41" i="33"/>
  <c r="O42" i="33"/>
  <c r="O43" i="33"/>
  <c r="O44" i="33"/>
  <c r="O45" i="33"/>
  <c r="O46" i="33"/>
  <c r="O47" i="33"/>
  <c r="O48" i="33"/>
  <c r="O49" i="33"/>
  <c r="O50" i="33"/>
  <c r="O51" i="33"/>
  <c r="O52" i="33"/>
  <c r="O53" i="33"/>
  <c r="O54" i="33"/>
  <c r="O55" i="33"/>
  <c r="O56" i="33"/>
  <c r="O57" i="33"/>
  <c r="O58" i="33"/>
  <c r="O59" i="33"/>
  <c r="O60" i="33"/>
  <c r="O61" i="33"/>
  <c r="O62" i="33"/>
  <c r="O63" i="33"/>
  <c r="O64" i="33"/>
  <c r="O65" i="33"/>
  <c r="O66" i="33"/>
  <c r="O67" i="33"/>
  <c r="O68" i="33"/>
  <c r="O69" i="33"/>
  <c r="O70" i="33"/>
  <c r="O71" i="33"/>
  <c r="O72" i="33"/>
  <c r="O73" i="33"/>
  <c r="O74" i="33"/>
  <c r="O75" i="33"/>
  <c r="O76" i="33"/>
  <c r="O77" i="33"/>
  <c r="O78" i="33"/>
  <c r="O79" i="33"/>
  <c r="O80" i="33"/>
  <c r="O81" i="33"/>
  <c r="O82" i="33"/>
  <c r="O83" i="33"/>
  <c r="O84" i="33"/>
  <c r="O85" i="33"/>
  <c r="O86" i="33"/>
  <c r="O87" i="33"/>
  <c r="O88" i="33"/>
  <c r="O89" i="33"/>
  <c r="O90" i="33"/>
  <c r="O91" i="33"/>
  <c r="O92" i="33"/>
  <c r="O93" i="33"/>
  <c r="O94" i="33"/>
  <c r="O95" i="33"/>
  <c r="O96" i="33"/>
  <c r="O97" i="33"/>
  <c r="O98" i="33"/>
  <c r="O99" i="33"/>
  <c r="O100" i="33"/>
  <c r="O101" i="33"/>
  <c r="O102" i="33"/>
  <c r="O105" i="33"/>
  <c r="O106" i="33"/>
  <c r="O103" i="33"/>
  <c r="O108" i="33"/>
  <c r="O107" i="33"/>
  <c r="O104" i="33"/>
  <c r="H108" i="31"/>
  <c r="N108" i="31"/>
  <c r="K108" i="31"/>
  <c r="K35" i="28"/>
  <c r="H35" i="28"/>
  <c r="P108" i="33" l="1"/>
  <c r="P107" i="33"/>
  <c r="M105" i="33"/>
  <c r="M104" i="33"/>
  <c r="M107" i="33"/>
  <c r="M95" i="33"/>
  <c r="M83" i="33"/>
  <c r="M71" i="33"/>
  <c r="M59" i="33"/>
  <c r="M47" i="33"/>
  <c r="M35" i="33"/>
  <c r="M23" i="33"/>
  <c r="M11" i="33"/>
  <c r="I35" i="28"/>
  <c r="F21" i="17" s="1"/>
  <c r="I21" i="17" s="1"/>
  <c r="J21" i="17" s="1"/>
  <c r="P9" i="33"/>
  <c r="P104" i="33"/>
  <c r="P96" i="33"/>
  <c r="P84" i="33"/>
  <c r="P72" i="33"/>
  <c r="P60" i="33"/>
  <c r="P48" i="33"/>
  <c r="P36" i="33"/>
  <c r="P24" i="33"/>
  <c r="P12" i="33"/>
  <c r="M103" i="33"/>
  <c r="M96" i="33"/>
  <c r="M84" i="33"/>
  <c r="M72" i="33"/>
  <c r="M60" i="33"/>
  <c r="M48" i="33"/>
  <c r="M36" i="33"/>
  <c r="M24" i="33"/>
  <c r="M12" i="33"/>
  <c r="P95" i="33"/>
  <c r="P22" i="33"/>
  <c r="M82" i="33"/>
  <c r="P93" i="33"/>
  <c r="P81" i="33"/>
  <c r="P69" i="33"/>
  <c r="P57" i="33"/>
  <c r="P45" i="33"/>
  <c r="P33" i="33"/>
  <c r="P21" i="33"/>
  <c r="P11" i="33"/>
  <c r="M106" i="33"/>
  <c r="M93" i="33"/>
  <c r="M81" i="33"/>
  <c r="M69" i="33"/>
  <c r="M57" i="33"/>
  <c r="M45" i="33"/>
  <c r="M33" i="33"/>
  <c r="M21" i="33"/>
  <c r="M8" i="33"/>
  <c r="P46" i="33"/>
  <c r="M70" i="33"/>
  <c r="P68" i="33"/>
  <c r="P32" i="33"/>
  <c r="P20" i="33"/>
  <c r="P10" i="33"/>
  <c r="M92" i="33"/>
  <c r="M80" i="33"/>
  <c r="M68" i="33"/>
  <c r="M56" i="33"/>
  <c r="M44" i="33"/>
  <c r="M32" i="33"/>
  <c r="M20" i="33"/>
  <c r="M10" i="33"/>
  <c r="P47" i="33"/>
  <c r="M9" i="33"/>
  <c r="P91" i="33"/>
  <c r="P67" i="33"/>
  <c r="P55" i="33"/>
  <c r="P43" i="33"/>
  <c r="P31" i="33"/>
  <c r="P19" i="33"/>
  <c r="M91" i="33"/>
  <c r="M79" i="33"/>
  <c r="M67" i="33"/>
  <c r="M55" i="33"/>
  <c r="M43" i="33"/>
  <c r="M31" i="33"/>
  <c r="M19" i="33"/>
  <c r="P59" i="33"/>
  <c r="P58" i="33"/>
  <c r="M58" i="33"/>
  <c r="P103" i="33"/>
  <c r="P79" i="33"/>
  <c r="P102" i="33"/>
  <c r="P90" i="33"/>
  <c r="P78" i="33"/>
  <c r="P66" i="33"/>
  <c r="P54" i="33"/>
  <c r="P42" i="33"/>
  <c r="P30" i="33"/>
  <c r="P18" i="33"/>
  <c r="M102" i="33"/>
  <c r="M90" i="33"/>
  <c r="M78" i="33"/>
  <c r="M66" i="33"/>
  <c r="M54" i="33"/>
  <c r="M42" i="33"/>
  <c r="M30" i="33"/>
  <c r="M18" i="33"/>
  <c r="P35" i="33"/>
  <c r="P94" i="33"/>
  <c r="M34" i="33"/>
  <c r="P106" i="33"/>
  <c r="P89" i="33"/>
  <c r="P65" i="33"/>
  <c r="P53" i="33"/>
  <c r="P41" i="33"/>
  <c r="P29" i="33"/>
  <c r="P17" i="33"/>
  <c r="M101" i="33"/>
  <c r="M89" i="33"/>
  <c r="M77" i="33"/>
  <c r="M65" i="33"/>
  <c r="M53" i="33"/>
  <c r="M41" i="33"/>
  <c r="M29" i="33"/>
  <c r="M17" i="33"/>
  <c r="P71" i="33"/>
  <c r="P8" i="33"/>
  <c r="P44" i="33"/>
  <c r="P101" i="33"/>
  <c r="P88" i="33"/>
  <c r="P76" i="33"/>
  <c r="P64" i="33"/>
  <c r="P52" i="33"/>
  <c r="P40" i="33"/>
  <c r="P28" i="33"/>
  <c r="P16" i="33"/>
  <c r="M100" i="33"/>
  <c r="M88" i="33"/>
  <c r="M76" i="33"/>
  <c r="M64" i="33"/>
  <c r="M52" i="33"/>
  <c r="M40" i="33"/>
  <c r="M28" i="33"/>
  <c r="M16" i="33"/>
  <c r="P23" i="33"/>
  <c r="P70" i="33"/>
  <c r="M22" i="33"/>
  <c r="P92" i="33"/>
  <c r="P77" i="33"/>
  <c r="P100" i="33"/>
  <c r="P99" i="33"/>
  <c r="P87" i="33"/>
  <c r="P75" i="33"/>
  <c r="P63" i="33"/>
  <c r="P51" i="33"/>
  <c r="P39" i="33"/>
  <c r="P27" i="33"/>
  <c r="P15" i="33"/>
  <c r="M99" i="33"/>
  <c r="M87" i="33"/>
  <c r="M75" i="33"/>
  <c r="M63" i="33"/>
  <c r="M51" i="33"/>
  <c r="M39" i="33"/>
  <c r="M27" i="33"/>
  <c r="M15" i="33"/>
  <c r="P83" i="33"/>
  <c r="P82" i="33"/>
  <c r="M46" i="33"/>
  <c r="P80" i="33"/>
  <c r="P105" i="33"/>
  <c r="P98" i="33"/>
  <c r="P86" i="33"/>
  <c r="P74" i="33"/>
  <c r="P62" i="33"/>
  <c r="P50" i="33"/>
  <c r="P38" i="33"/>
  <c r="P26" i="33"/>
  <c r="P14" i="33"/>
  <c r="M98" i="33"/>
  <c r="M86" i="33"/>
  <c r="M74" i="33"/>
  <c r="M62" i="33"/>
  <c r="M50" i="33"/>
  <c r="M38" i="33"/>
  <c r="M26" i="33"/>
  <c r="M14" i="33"/>
  <c r="P34" i="33"/>
  <c r="M94" i="33"/>
  <c r="P56" i="33"/>
  <c r="P97" i="33"/>
  <c r="P85" i="33"/>
  <c r="P73" i="33"/>
  <c r="P61" i="33"/>
  <c r="P49" i="33"/>
  <c r="P37" i="33"/>
  <c r="P25" i="33"/>
  <c r="P13" i="33"/>
  <c r="M97" i="33"/>
  <c r="M85" i="33"/>
  <c r="M73" i="33"/>
  <c r="M61" i="33"/>
  <c r="M49" i="33"/>
  <c r="M37" i="33"/>
  <c r="M25" i="33"/>
  <c r="M13" i="33"/>
  <c r="G109" i="31"/>
  <c r="H109" i="31" l="1"/>
  <c r="K109" i="31"/>
  <c r="N109" i="31"/>
  <c r="L109" i="31" l="1"/>
  <c r="M109" i="31" s="1"/>
  <c r="L8" i="31"/>
  <c r="L11" i="31"/>
  <c r="L10" i="31"/>
  <c r="L12" i="31"/>
  <c r="L9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50" i="31"/>
  <c r="L51" i="31"/>
  <c r="L52" i="31"/>
  <c r="L53" i="31"/>
  <c r="L54" i="31"/>
  <c r="L55" i="31"/>
  <c r="L56" i="31"/>
  <c r="L57" i="31"/>
  <c r="L58" i="31"/>
  <c r="L59" i="31"/>
  <c r="L60" i="31"/>
  <c r="L61" i="31"/>
  <c r="L62" i="31"/>
  <c r="L63" i="31"/>
  <c r="L64" i="31"/>
  <c r="L65" i="31"/>
  <c r="L66" i="31"/>
  <c r="L67" i="31"/>
  <c r="L68" i="31"/>
  <c r="L69" i="31"/>
  <c r="L70" i="31"/>
  <c r="L71" i="31"/>
  <c r="L72" i="31"/>
  <c r="L73" i="31"/>
  <c r="L74" i="31"/>
  <c r="L75" i="31"/>
  <c r="L76" i="31"/>
  <c r="L77" i="31"/>
  <c r="L78" i="31"/>
  <c r="L79" i="31"/>
  <c r="L80" i="31"/>
  <c r="L81" i="31"/>
  <c r="L82" i="31"/>
  <c r="L83" i="31"/>
  <c r="L84" i="31"/>
  <c r="L85" i="31"/>
  <c r="L86" i="31"/>
  <c r="L87" i="31"/>
  <c r="L88" i="31"/>
  <c r="L89" i="31"/>
  <c r="L90" i="31"/>
  <c r="L91" i="31"/>
  <c r="L92" i="31"/>
  <c r="L93" i="31"/>
  <c r="L94" i="31"/>
  <c r="L95" i="31"/>
  <c r="L96" i="31"/>
  <c r="L97" i="31"/>
  <c r="L98" i="31"/>
  <c r="L99" i="31"/>
  <c r="L100" i="31"/>
  <c r="L101" i="31"/>
  <c r="L102" i="31"/>
  <c r="L108" i="31"/>
  <c r="M108" i="31" s="1"/>
  <c r="L107" i="31"/>
  <c r="L106" i="31"/>
  <c r="L104" i="31"/>
  <c r="L103" i="31"/>
  <c r="L105" i="31"/>
  <c r="O109" i="31"/>
  <c r="P109" i="31" s="1"/>
  <c r="O12" i="31"/>
  <c r="O11" i="31"/>
  <c r="O8" i="31"/>
  <c r="O10" i="31"/>
  <c r="O9" i="31"/>
  <c r="O13" i="31"/>
  <c r="O14" i="31"/>
  <c r="O15" i="31"/>
  <c r="O16" i="31"/>
  <c r="O17" i="31"/>
  <c r="O18" i="31"/>
  <c r="O19" i="31"/>
  <c r="O20" i="31"/>
  <c r="O21" i="31"/>
  <c r="O22" i="31"/>
  <c r="O23" i="31"/>
  <c r="O24" i="31"/>
  <c r="O25" i="31"/>
  <c r="O26" i="31"/>
  <c r="O27" i="31"/>
  <c r="O28" i="31"/>
  <c r="O29" i="31"/>
  <c r="O30" i="31"/>
  <c r="O31" i="31"/>
  <c r="O32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53" i="31"/>
  <c r="O54" i="31"/>
  <c r="O55" i="31"/>
  <c r="O56" i="31"/>
  <c r="O57" i="31"/>
  <c r="O58" i="31"/>
  <c r="O59" i="31"/>
  <c r="O60" i="31"/>
  <c r="O61" i="31"/>
  <c r="O62" i="31"/>
  <c r="O63" i="31"/>
  <c r="O64" i="31"/>
  <c r="O65" i="31"/>
  <c r="O66" i="31"/>
  <c r="O67" i="31"/>
  <c r="O68" i="31"/>
  <c r="O69" i="31"/>
  <c r="O70" i="31"/>
  <c r="O71" i="31"/>
  <c r="O72" i="31"/>
  <c r="O73" i="31"/>
  <c r="O74" i="31"/>
  <c r="O75" i="31"/>
  <c r="O76" i="31"/>
  <c r="O77" i="31"/>
  <c r="O78" i="31"/>
  <c r="O79" i="31"/>
  <c r="O80" i="31"/>
  <c r="O81" i="31"/>
  <c r="O82" i="31"/>
  <c r="O83" i="31"/>
  <c r="O84" i="31"/>
  <c r="O85" i="31"/>
  <c r="O86" i="31"/>
  <c r="O87" i="31"/>
  <c r="O88" i="31"/>
  <c r="O89" i="31"/>
  <c r="O90" i="31"/>
  <c r="O91" i="31"/>
  <c r="O92" i="31"/>
  <c r="O93" i="31"/>
  <c r="O94" i="31"/>
  <c r="O95" i="31"/>
  <c r="O96" i="31"/>
  <c r="O97" i="31"/>
  <c r="O98" i="31"/>
  <c r="O99" i="31"/>
  <c r="O100" i="31"/>
  <c r="O101" i="31"/>
  <c r="O102" i="31"/>
  <c r="O103" i="31"/>
  <c r="O105" i="31"/>
  <c r="O108" i="31"/>
  <c r="P108" i="31" s="1"/>
  <c r="O107" i="31"/>
  <c r="O106" i="31"/>
  <c r="O104" i="31"/>
  <c r="H34" i="28"/>
  <c r="P107" i="31" l="1"/>
  <c r="M105" i="31"/>
  <c r="M102" i="31"/>
  <c r="P106" i="31"/>
  <c r="M107" i="31"/>
  <c r="M106" i="31"/>
  <c r="M101" i="31"/>
  <c r="M89" i="31"/>
  <c r="M77" i="31"/>
  <c r="M53" i="31"/>
  <c r="M41" i="31"/>
  <c r="M29" i="31"/>
  <c r="M17" i="31"/>
  <c r="P83" i="31"/>
  <c r="P95" i="31"/>
  <c r="M103" i="31"/>
  <c r="P71" i="31"/>
  <c r="D48" i="28"/>
  <c r="I34" i="28"/>
  <c r="P104" i="31"/>
  <c r="P96" i="31"/>
  <c r="P84" i="31"/>
  <c r="P72" i="31"/>
  <c r="P60" i="31"/>
  <c r="P48" i="31"/>
  <c r="P36" i="31"/>
  <c r="P24" i="31"/>
  <c r="P9" i="31"/>
  <c r="M90" i="31"/>
  <c r="M78" i="31"/>
  <c r="M66" i="31"/>
  <c r="M54" i="31"/>
  <c r="M42" i="31"/>
  <c r="M30" i="31"/>
  <c r="M18" i="31"/>
  <c r="P10" i="31"/>
  <c r="M40" i="31"/>
  <c r="P81" i="31"/>
  <c r="P69" i="31"/>
  <c r="P57" i="31"/>
  <c r="P45" i="31"/>
  <c r="P33" i="31"/>
  <c r="P21" i="31"/>
  <c r="P11" i="31"/>
  <c r="M99" i="31"/>
  <c r="M87" i="31"/>
  <c r="M75" i="31"/>
  <c r="M63" i="31"/>
  <c r="M51" i="31"/>
  <c r="M39" i="31"/>
  <c r="M27" i="31"/>
  <c r="M15" i="31"/>
  <c r="P94" i="31"/>
  <c r="P22" i="31"/>
  <c r="M100" i="31"/>
  <c r="P44" i="31"/>
  <c r="P32" i="31"/>
  <c r="P20" i="31"/>
  <c r="P12" i="31"/>
  <c r="M98" i="31"/>
  <c r="M86" i="31"/>
  <c r="M74" i="31"/>
  <c r="M62" i="31"/>
  <c r="M50" i="31"/>
  <c r="M38" i="31"/>
  <c r="M26" i="31"/>
  <c r="M14" i="31"/>
  <c r="M28" i="31"/>
  <c r="P92" i="31"/>
  <c r="P67" i="31"/>
  <c r="P55" i="31"/>
  <c r="P43" i="31"/>
  <c r="P31" i="31"/>
  <c r="P19" i="31"/>
  <c r="M97" i="31"/>
  <c r="M85" i="31"/>
  <c r="M73" i="31"/>
  <c r="M61" i="31"/>
  <c r="M49" i="31"/>
  <c r="M37" i="31"/>
  <c r="M25" i="31"/>
  <c r="M13" i="31"/>
  <c r="P59" i="31"/>
  <c r="M65" i="31"/>
  <c r="P82" i="31"/>
  <c r="M52" i="31"/>
  <c r="P68" i="31"/>
  <c r="P102" i="31"/>
  <c r="P78" i="31"/>
  <c r="P66" i="31"/>
  <c r="P54" i="31"/>
  <c r="P42" i="31"/>
  <c r="P30" i="31"/>
  <c r="P18" i="31"/>
  <c r="M96" i="31"/>
  <c r="M84" i="31"/>
  <c r="M72" i="31"/>
  <c r="M60" i="31"/>
  <c r="M48" i="31"/>
  <c r="M36" i="31"/>
  <c r="M24" i="31"/>
  <c r="M9" i="31"/>
  <c r="P35" i="31"/>
  <c r="P46" i="31"/>
  <c r="M76" i="31"/>
  <c r="P80" i="31"/>
  <c r="P101" i="31"/>
  <c r="P53" i="31"/>
  <c r="P41" i="31"/>
  <c r="P29" i="31"/>
  <c r="P17" i="31"/>
  <c r="M95" i="31"/>
  <c r="M83" i="31"/>
  <c r="M71" i="31"/>
  <c r="M59" i="31"/>
  <c r="M47" i="31"/>
  <c r="M35" i="31"/>
  <c r="M23" i="31"/>
  <c r="M12" i="31"/>
  <c r="P23" i="31"/>
  <c r="M16" i="31"/>
  <c r="P105" i="31"/>
  <c r="P103" i="31"/>
  <c r="P90" i="31"/>
  <c r="P76" i="31"/>
  <c r="P64" i="31"/>
  <c r="P52" i="31"/>
  <c r="P40" i="31"/>
  <c r="P28" i="31"/>
  <c r="P16" i="31"/>
  <c r="M104" i="31"/>
  <c r="M94" i="31"/>
  <c r="M82" i="31"/>
  <c r="M70" i="31"/>
  <c r="M58" i="31"/>
  <c r="M46" i="31"/>
  <c r="M34" i="31"/>
  <c r="M22" i="31"/>
  <c r="M10" i="31"/>
  <c r="P34" i="31"/>
  <c r="M88" i="31"/>
  <c r="P56" i="31"/>
  <c r="P77" i="31"/>
  <c r="P88" i="31"/>
  <c r="P75" i="31"/>
  <c r="P63" i="31"/>
  <c r="P51" i="31"/>
  <c r="P39" i="31"/>
  <c r="P27" i="31"/>
  <c r="P15" i="31"/>
  <c r="M93" i="31"/>
  <c r="M81" i="31"/>
  <c r="M69" i="31"/>
  <c r="M57" i="31"/>
  <c r="M45" i="31"/>
  <c r="M33" i="31"/>
  <c r="M21" i="31"/>
  <c r="M11" i="31"/>
  <c r="P47" i="31"/>
  <c r="P58" i="31"/>
  <c r="M64" i="31"/>
  <c r="P79" i="31"/>
  <c r="P89" i="31"/>
  <c r="P100" i="31"/>
  <c r="P87" i="31"/>
  <c r="P86" i="31"/>
  <c r="P74" i="31"/>
  <c r="P62" i="31"/>
  <c r="P50" i="31"/>
  <c r="P38" i="31"/>
  <c r="P26" i="31"/>
  <c r="P14" i="31"/>
  <c r="M92" i="31"/>
  <c r="M80" i="31"/>
  <c r="M68" i="31"/>
  <c r="M56" i="31"/>
  <c r="M44" i="31"/>
  <c r="M32" i="31"/>
  <c r="M20" i="31"/>
  <c r="M8" i="31"/>
  <c r="P70" i="31"/>
  <c r="P8" i="31"/>
  <c r="P93" i="31"/>
  <c r="P91" i="31"/>
  <c r="P65" i="31"/>
  <c r="P99" i="31"/>
  <c r="P98" i="31"/>
  <c r="P97" i="31"/>
  <c r="P85" i="31"/>
  <c r="P73" i="31"/>
  <c r="P61" i="31"/>
  <c r="P49" i="31"/>
  <c r="P37" i="31"/>
  <c r="P25" i="31"/>
  <c r="P13" i="31"/>
  <c r="M91" i="31"/>
  <c r="M79" i="31"/>
  <c r="M67" i="31"/>
  <c r="M55" i="31"/>
  <c r="M43" i="31"/>
  <c r="M31" i="31"/>
  <c r="M19" i="31"/>
  <c r="F20" i="17" l="1"/>
  <c r="I20" i="17" s="1"/>
  <c r="J20" i="17" s="1"/>
  <c r="E48" i="28"/>
  <c r="F49" i="28" s="1"/>
  <c r="I46" i="28"/>
  <c r="H41" i="17" s="1"/>
  <c r="C37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Кривошеев Алексей Алексеевич (Krivosheev Aleksei)</author>
  </authors>
  <commentList>
    <comment ref="E18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04"/>
          </rPr>
          <t>ИЛП</t>
        </r>
      </text>
    </comment>
    <comment ref="F18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КЗ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Кривошеев Алексей Алексеевич (Krivosheev Aleksei)</author>
  </authors>
  <commentList>
    <comment ref="I15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Программа для БФКО PB с учетом
- SMO 500 руб
- TPA 30% от нетто</t>
        </r>
      </text>
    </comment>
  </commentList>
</comments>
</file>

<file path=xl/sharedStrings.xml><?xml version="1.0" encoding="utf-8"?>
<sst xmlns="http://schemas.openxmlformats.org/spreadsheetml/2006/main" count="875" uniqueCount="635">
  <si>
    <t>Дата расчета</t>
  </si>
  <si>
    <t>Валюта</t>
  </si>
  <si>
    <t>Смерть НС</t>
  </si>
  <si>
    <t>Застрахованный</t>
  </si>
  <si>
    <t>k</t>
  </si>
  <si>
    <t>Действует до:</t>
  </si>
  <si>
    <t>Версия:</t>
  </si>
  <si>
    <t>Дата:</t>
  </si>
  <si>
    <t>Дата расчёта</t>
  </si>
  <si>
    <t>Дополнительные риски:</t>
  </si>
  <si>
    <t>Размер страхового взноса с учетом периодичности:</t>
  </si>
  <si>
    <t>Периодичность уплаты страховой премии</t>
  </si>
  <si>
    <t>100% страховой суммы</t>
  </si>
  <si>
    <t>Смерть Застрахованного в результате транспортного происшествия</t>
  </si>
  <si>
    <t>Смерть Застрахованного в результате несчастного случая</t>
  </si>
  <si>
    <t>по</t>
  </si>
  <si>
    <t>с</t>
  </si>
  <si>
    <t>Страховая выплата</t>
  </si>
  <si>
    <t>Страховые риски</t>
  </si>
  <si>
    <t>Инвалидность Застрахованного с установлением I, II группы инвалидности по любой причине</t>
  </si>
  <si>
    <t>Основное страховое покрытие</t>
  </si>
  <si>
    <t>Пол Застрахованного:</t>
  </si>
  <si>
    <t>Возраст застрахованного:</t>
  </si>
  <si>
    <t>Дата расчета:</t>
  </si>
  <si>
    <t>Уважаемый/ая,</t>
  </si>
  <si>
    <t>Статус:</t>
  </si>
  <si>
    <t>рубли</t>
  </si>
  <si>
    <t>Периодичность оплаты</t>
  </si>
  <si>
    <t>Кол-во ошибок:</t>
  </si>
  <si>
    <t>(двойной клик мышью переключает значения)</t>
  </si>
  <si>
    <t>Параметры ручные:</t>
  </si>
  <si>
    <t>Параметры расчётные:</t>
  </si>
  <si>
    <t>Сроки:</t>
  </si>
  <si>
    <t xml:space="preserve">Итоговая страховая премия, порядок уплаты </t>
  </si>
  <si>
    <t xml:space="preserve">Страховая сумма </t>
  </si>
  <si>
    <t>Дополнительные пакеты для максимизации страховой защиты</t>
  </si>
  <si>
    <t>Срок действия, мес.</t>
  </si>
  <si>
    <t>Застрахованный = Страхователь</t>
  </si>
  <si>
    <t>Пол</t>
  </si>
  <si>
    <t>Дата рождения</t>
  </si>
  <si>
    <t>Застрахованный:</t>
  </si>
  <si>
    <t>Страхователь:</t>
  </si>
  <si>
    <t>Стоп-факторы:</t>
  </si>
  <si>
    <t>Наименование</t>
  </si>
  <si>
    <t>Статус</t>
  </si>
  <si>
    <t>Итоговая строка стоп-факторов:</t>
  </si>
  <si>
    <t>Имя и отчество</t>
  </si>
  <si>
    <t>Отслеживание изменений</t>
  </si>
  <si>
    <t>Было</t>
  </si>
  <si>
    <t>Стало</t>
  </si>
  <si>
    <t>Изменилось</t>
  </si>
  <si>
    <t>Смерть Застрахованного по любой причине</t>
  </si>
  <si>
    <t>Информация автоматически распечатается на 1 листе.</t>
  </si>
  <si>
    <t>Если при заполнении полей ошибок нет - автоматический переход на вкладку "Предложение для клиента"</t>
  </si>
  <si>
    <t>В случае наличия ошибок в заполненных полях они появятся в разделе "Сообщения"</t>
  </si>
  <si>
    <t>Пакет 1 (надо выбрать "вкл" или "-")</t>
  </si>
  <si>
    <t>Застрахованный = Страхователь (надо выбрать "да" или "нет")</t>
  </si>
  <si>
    <t>Срок действия договора</t>
  </si>
  <si>
    <t>ДА</t>
  </si>
  <si>
    <t>Валюта страхования:</t>
  </si>
  <si>
    <t>Срок страхования:</t>
  </si>
  <si>
    <t>Периодичность уплаты взносов:</t>
  </si>
  <si>
    <t>-</t>
  </si>
  <si>
    <t>% от страховой суммы в соответствии с таблицей выплат</t>
  </si>
  <si>
    <t>СБСЖ Годовые</t>
  </si>
  <si>
    <t>РГСЖ (Осн + Пакет НС)</t>
  </si>
  <si>
    <t>ИТОГО</t>
  </si>
  <si>
    <t>x</t>
  </si>
  <si>
    <t>За рубежом</t>
  </si>
  <si>
    <t>РФ</t>
  </si>
  <si>
    <t>Взнос</t>
  </si>
  <si>
    <t>Травма</t>
  </si>
  <si>
    <t>Смерть ДТП</t>
  </si>
  <si>
    <t>Пакет НС</t>
  </si>
  <si>
    <t>Инвалидность ЛП 1,2</t>
  </si>
  <si>
    <t>Смерть ЛП</t>
  </si>
  <si>
    <t>Основная программа</t>
  </si>
  <si>
    <t>Tr UW</t>
  </si>
  <si>
    <r>
      <t xml:space="preserve">UW, </t>
    </r>
    <r>
      <rPr>
        <b/>
        <sz val="10"/>
        <rFont val="Calibri"/>
        <family val="2"/>
        <charset val="204"/>
      </rPr>
      <t>‰</t>
    </r>
  </si>
  <si>
    <t xml:space="preserve">UW, % </t>
  </si>
  <si>
    <t>Страховая сумма</t>
  </si>
  <si>
    <t>Выбран (1/0)</t>
  </si>
  <si>
    <t>CТРАХОВЫЕ РИСКИ</t>
  </si>
  <si>
    <t>Прямой канал - 5%</t>
  </si>
  <si>
    <t>Нагрузка</t>
  </si>
  <si>
    <t>КВ</t>
  </si>
  <si>
    <t>Инд. КВ</t>
  </si>
  <si>
    <t>Стандартное КВ</t>
  </si>
  <si>
    <t>КВ &amp; НАГРУЗКА</t>
  </si>
  <si>
    <t>Периодичность взносов:</t>
  </si>
  <si>
    <t>Гарантированная доходность:</t>
  </si>
  <si>
    <t>Валюта:</t>
  </si>
  <si>
    <t>ПАРАМЕТРЫ ПРОГРАММЫ</t>
  </si>
  <si>
    <t>Возраст:</t>
  </si>
  <si>
    <t>Дата рождения:</t>
  </si>
  <si>
    <t>m</t>
  </si>
  <si>
    <t>Пол:</t>
  </si>
  <si>
    <t>КЛИЕНТ</t>
  </si>
  <si>
    <t>Макс возраст КЗ на конец</t>
  </si>
  <si>
    <t>Макс возраст ИЛП на конец</t>
  </si>
  <si>
    <t>КЗ</t>
  </si>
  <si>
    <t>Коэф. рассрочки</t>
  </si>
  <si>
    <t>Ntr</t>
  </si>
  <si>
    <t>Риск надбавка</t>
  </si>
  <si>
    <t>RE (Swiss)</t>
  </si>
  <si>
    <t>Срок / Год</t>
  </si>
  <si>
    <t>КВ Стандарт</t>
  </si>
  <si>
    <t>Возраст</t>
  </si>
  <si>
    <t>Срок страхования, лет</t>
  </si>
  <si>
    <t>ЖЕНЩИНЫ</t>
  </si>
  <si>
    <t>МУЖЧИНЫ</t>
  </si>
  <si>
    <t>Месячный тариф по страхованию жизни на срок (ежемесячная премия на 1000 страховой суммы)</t>
  </si>
  <si>
    <t>Годовой тариф по страхованию жизни на срок (ежегодная премия на 1000 страховой суммы)</t>
  </si>
  <si>
    <t>Rx</t>
  </si>
  <si>
    <t>Mx</t>
  </si>
  <si>
    <t>Cx</t>
  </si>
  <si>
    <t>Sx</t>
  </si>
  <si>
    <t>Nx</t>
  </si>
  <si>
    <t>Dx</t>
  </si>
  <si>
    <t>px</t>
  </si>
  <si>
    <t>qx</t>
  </si>
  <si>
    <t>dx</t>
  </si>
  <si>
    <t>lx</t>
  </si>
  <si>
    <t>Женщины</t>
  </si>
  <si>
    <t>Мужчины</t>
  </si>
  <si>
    <t>Tаблица смертности</t>
  </si>
  <si>
    <t>Munich Re (Ergo ver)</t>
  </si>
  <si>
    <t>ii</t>
  </si>
  <si>
    <t>ext_mort</t>
  </si>
  <si>
    <t>Tаблица инвалидности</t>
  </si>
  <si>
    <t>ext_dis</t>
  </si>
  <si>
    <t>Tаблица смерти или инвалидности</t>
  </si>
  <si>
    <t>Требуется расчет актуариев</t>
  </si>
  <si>
    <t>Маржа</t>
  </si>
  <si>
    <t>•КВ=0 (на всех сроках)</t>
  </si>
  <si>
    <t>для прямой продажи, требуется обсуждение</t>
  </si>
  <si>
    <t>20-30 лет</t>
  </si>
  <si>
    <t>15-19 лет</t>
  </si>
  <si>
    <t>10-14 лет</t>
  </si>
  <si>
    <t>5-9 лет</t>
  </si>
  <si>
    <t>1-4 лет</t>
  </si>
  <si>
    <t>РКО</t>
  </si>
  <si>
    <t>Мотивация</t>
  </si>
  <si>
    <t>КВ (аналог СБ)</t>
  </si>
  <si>
    <t>Общий аквиз.</t>
  </si>
  <si>
    <t xml:space="preserve">•Срок страхования </t>
  </si>
  <si>
    <t>•Порядок оплаты</t>
  </si>
  <si>
    <t>•Персональные данные</t>
  </si>
  <si>
    <t xml:space="preserve">•Страховые суммы, страховые взносы </t>
  </si>
  <si>
    <t>•Список выгодоприобретателей</t>
  </si>
  <si>
    <t>•Перечень рисков</t>
  </si>
  <si>
    <t>(в полисную годовщину)</t>
  </si>
  <si>
    <t>Нефинансовые измеенения</t>
  </si>
  <si>
    <t>Финансовые изменения</t>
  </si>
  <si>
    <t>Изменения</t>
  </si>
  <si>
    <t>Нет</t>
  </si>
  <si>
    <t>Выкупные суммы</t>
  </si>
  <si>
    <t>ДИД</t>
  </si>
  <si>
    <t>Сервисы</t>
  </si>
  <si>
    <t>Зависит от пола и возраста, фиксируется на весь срок действия договора</t>
  </si>
  <si>
    <t>Тариф</t>
  </si>
  <si>
    <t>При ежегодной оплате – 60 дней, 30 дней – при полугодовой и ежемесячной рассрочках</t>
  </si>
  <si>
    <t>Льготный период</t>
  </si>
  <si>
    <t>1-30 с шагом 1 год, с возможностью пролонгации в полисную годовщину</t>
  </si>
  <si>
    <t>Срок страхования</t>
  </si>
  <si>
    <t>Рубли/ Доллары США</t>
  </si>
  <si>
    <t>Физическое лицо/юридическое лицо (в т.ч. банк)</t>
  </si>
  <si>
    <t>Выгодоприобретатель</t>
  </si>
  <si>
    <t>Физическое  лицо от 18 лет</t>
  </si>
  <si>
    <t>Страхователь</t>
  </si>
  <si>
    <t>Ручной выпуск из SAP (для старта в прямом канале)</t>
  </si>
  <si>
    <t>ПО</t>
  </si>
  <si>
    <t>IV квартал 2021 г</t>
  </si>
  <si>
    <t>Планируемая дата запуска</t>
  </si>
  <si>
    <t>•Банки партнеры (в т. ч. как продукт «входа»)</t>
  </si>
  <si>
    <t>•Прямой канал продаж (сотрудники РГС Ж)</t>
  </si>
  <si>
    <t>Канал продаж</t>
  </si>
  <si>
    <t>•  Возможность оформления СНВ (при сроке от 5 лет)</t>
  </si>
  <si>
    <t>•  Максимально универсальный продукт для постановки на полку у любого партнера</t>
  </si>
  <si>
    <t>•  Широкий перечень доп. защитных покрытий</t>
  </si>
  <si>
    <t>•  Высокая страховая защита (от 1 млн руб.)</t>
  </si>
  <si>
    <t>•Небольшая стоимость, возможность оплаты в рассрочку</t>
  </si>
  <si>
    <t>Преимущества программы:</t>
  </si>
  <si>
    <t>•финансовую защиту интересов клиента в случае нетрудоспособности, травмы или критического заболевания</t>
  </si>
  <si>
    <t>•защиту семьи от финансовых последствий в случае потери кормильца</t>
  </si>
  <si>
    <t>Долгосрочный рисковый продукт направленный на :</t>
  </si>
  <si>
    <t>Краткое описание</t>
  </si>
  <si>
    <t>Чек ап подключаем отдельным полисом- уточнить возможность</t>
  </si>
  <si>
    <t>18-70 / 75</t>
  </si>
  <si>
    <t>организация и оплата</t>
  </si>
  <si>
    <t>Медицинский чек ап (отдельный полис)</t>
  </si>
  <si>
    <t>Пакет медицинский чек ап</t>
  </si>
  <si>
    <t>Чек ап подключаем отдельным полисом на один год –уточнить  возможность</t>
  </si>
  <si>
    <t>Генетический Check up (подключается на 1 год в момент заключения договора страхования) (отдельный полис)</t>
  </si>
  <si>
    <t>Пакет генетический чек ап</t>
  </si>
  <si>
    <t>18-64 / 65</t>
  </si>
  <si>
    <t>организация и оплата (включается как обязательное покрытие к КЗ)</t>
  </si>
  <si>
    <t>Второе мнение (подключается только вместе с КЗ- лечение либо КЗ- выплата)</t>
  </si>
  <si>
    <t>ОУСВ при диагностировании КЗ по всем рискам</t>
  </si>
  <si>
    <t>ОУСВ КЗ (пакет с КЗ с лечением и выплаты)</t>
  </si>
  <si>
    <t>375 000 000 руб.</t>
  </si>
  <si>
    <t xml:space="preserve">организация и оплата </t>
  </si>
  <si>
    <t>Критические заболевания (лечение в РФ и за рубежом)</t>
  </si>
  <si>
    <t>Пакет Критические заболевания</t>
  </si>
  <si>
    <t>по таблице (безусл. выплата 1% для травм вне таб.)</t>
  </si>
  <si>
    <t xml:space="preserve">Травма НС </t>
  </si>
  <si>
    <t>150 000 долл.</t>
  </si>
  <si>
    <t>70 000 долл.</t>
  </si>
  <si>
    <t xml:space="preserve">                                              18-70 / 75</t>
  </si>
  <si>
    <t>100% СС</t>
  </si>
  <si>
    <t xml:space="preserve">Смерть ТС </t>
  </si>
  <si>
    <t>(на выбор, подключаются на весь срок, возможны изменения в годовщину полиса)</t>
  </si>
  <si>
    <t xml:space="preserve">10 500 000 руб. / </t>
  </si>
  <si>
    <t xml:space="preserve">5 000 000 руб. / </t>
  </si>
  <si>
    <t>18-70/75</t>
  </si>
  <si>
    <t xml:space="preserve">100% СС </t>
  </si>
  <si>
    <t xml:space="preserve">Смерть НС </t>
  </si>
  <si>
    <t>Дополнительные необязательные:</t>
  </si>
  <si>
    <t>1 000 000 руб./ 14 000 долл.</t>
  </si>
  <si>
    <t xml:space="preserve">100% / 75% СС </t>
  </si>
  <si>
    <t>Инвалидность I, II группа  ЛП – СС (первые 1 года НС)</t>
  </si>
  <si>
    <t xml:space="preserve">•66-70 лет: </t>
  </si>
  <si>
    <t>10 500 000 руб./ 150 000 долл.</t>
  </si>
  <si>
    <t>5 000 000 руб./ 70 000 долл.</t>
  </si>
  <si>
    <t>По результатам индивид. андеррайтинга*</t>
  </si>
  <si>
    <t xml:space="preserve">•18-65 лет: </t>
  </si>
  <si>
    <t xml:space="preserve">100% СС  </t>
  </si>
  <si>
    <t xml:space="preserve">Смерть ЛП </t>
  </si>
  <si>
    <t>Основные:</t>
  </si>
  <si>
    <t xml:space="preserve"> канала</t>
  </si>
  <si>
    <t>канал</t>
  </si>
  <si>
    <t>Оба</t>
  </si>
  <si>
    <t xml:space="preserve">Банковский </t>
  </si>
  <si>
    <t xml:space="preserve">Прямой </t>
  </si>
  <si>
    <t>Максимум</t>
  </si>
  <si>
    <t xml:space="preserve">Для декларации </t>
  </si>
  <si>
    <t>(макс. при заключении / действует до)</t>
  </si>
  <si>
    <t xml:space="preserve">Лимиты страховых сумм </t>
  </si>
  <si>
    <t>Возрастные ограничения по Застрахованному</t>
  </si>
  <si>
    <t>Риски</t>
  </si>
  <si>
    <t>Ежегодно, ежемесячно (автоплатеж)</t>
  </si>
  <si>
    <t>Страховые взносы</t>
  </si>
  <si>
    <t xml:space="preserve">1 000 000 руб. (аналог в долларах США). </t>
  </si>
  <si>
    <t>Минимальная страховая сумма (по риску СЛП)</t>
  </si>
  <si>
    <t>Срок</t>
  </si>
  <si>
    <t>КОФ ЦБ 5055У</t>
  </si>
  <si>
    <t>ПАКЕТ «НЕСЧАСТНЫЙ СЛУЧАЙ»</t>
  </si>
  <si>
    <t>Травма Застрахованного в результате несчастного случая</t>
  </si>
  <si>
    <t>Пакет 2 (надо выбрать один из трех вариантов "вкл (вариант лечение в РФ)" / "вкл (вариант лечение за рубежом)" / "-")</t>
  </si>
  <si>
    <t>Инфляция</t>
  </si>
  <si>
    <t>S</t>
  </si>
  <si>
    <t xml:space="preserve"> - Лечение в РФ</t>
  </si>
  <si>
    <t xml:space="preserve"> - Лечение за рубежом</t>
  </si>
  <si>
    <t>ПАКЕТ «КРИТИЧЕСКИЕ ЗАБОЛЕВАНИЯ»</t>
  </si>
  <si>
    <t>Страховую сумму</t>
  </si>
  <si>
    <t>ПАКЕТ "КРИТИЧЕСКИЕ ЗАБОЛЕВАНИЯ"</t>
  </si>
  <si>
    <t>Нагрузка КЗ</t>
  </si>
  <si>
    <t xml:space="preserve">Рынок - 20% </t>
  </si>
  <si>
    <t>Партнеры 30% + 35 %КЗ + %КВ</t>
  </si>
  <si>
    <t>Дополнительные опции:</t>
  </si>
  <si>
    <t>Срок страхования по риску</t>
  </si>
  <si>
    <t>Рекомендованный срок страхования</t>
  </si>
  <si>
    <t>Смерть по любой причине</t>
  </si>
  <si>
    <t>Рекомендованная страховая сумма</t>
  </si>
  <si>
    <t>Максимальная страховая сумма</t>
  </si>
  <si>
    <t>При наличии таковых, сумма увеличивается на 30%, чтобы покрыть расходы на уход за родственником</t>
  </si>
  <si>
    <t>Родственники, требующего особого ухода</t>
  </si>
  <si>
    <t>Да</t>
  </si>
  <si>
    <t>Есть ли родственники, требующего особого ухода (пенсионеры/инвалиды)</t>
  </si>
  <si>
    <t>Действует по принципу дисконтирования с увеличением на 25%, помимо этого процент снижается с каждым ребёнком (см. Лист 1)</t>
  </si>
  <si>
    <t>Кол-во детей</t>
  </si>
  <si>
    <t>3 и более</t>
  </si>
  <si>
    <t>Количество детей на иждивении</t>
  </si>
  <si>
    <t>В зависимости от доли подбирается коэффициент, равномерно увеличивающийся в диапазоне от 1 до 3 (см. Лист 1)</t>
  </si>
  <si>
    <t>Кормилец</t>
  </si>
  <si>
    <t>25-49%</t>
  </si>
  <si>
    <t>Вы единственный кормилец в семье?</t>
  </si>
  <si>
    <t>Среднегодовой доход</t>
  </si>
  <si>
    <t>Параметр для максимальной страховой суммы, зависит от возраста клиента (см. Лист 1)</t>
  </si>
  <si>
    <t>Есть работа?</t>
  </si>
  <si>
    <t>Комментарий</t>
  </si>
  <si>
    <t>Коэффициент</t>
  </si>
  <si>
    <t>Параметр</t>
  </si>
  <si>
    <t>Коэффициенты</t>
  </si>
  <si>
    <t>Подбор рекомендованной страховой суммы по риску "Уход из жизни"</t>
  </si>
  <si>
    <t>Более 90%</t>
  </si>
  <si>
    <t>75%-89%</t>
  </si>
  <si>
    <t>50-74%</t>
  </si>
  <si>
    <t>10-24%</t>
  </si>
  <si>
    <t>до 10%</t>
  </si>
  <si>
    <t>Доля</t>
  </si>
  <si>
    <t>Кол-во</t>
  </si>
  <si>
    <t>Дети (несовершенолетние)</t>
  </si>
  <si>
    <t xml:space="preserve">60 и старше </t>
  </si>
  <si>
    <t xml:space="preserve">до 59 </t>
  </si>
  <si>
    <t>Коэффициент к среднегодовой з/п за последние 3 года</t>
  </si>
  <si>
    <t>Возраст на момент заключения договора, лет</t>
  </si>
  <si>
    <r>
      <rPr>
        <b/>
        <sz val="10"/>
        <color theme="1"/>
        <rFont val="Calibri"/>
        <family val="2"/>
        <charset val="204"/>
        <scheme val="minor"/>
      </rPr>
      <t>При страховании студентов:</t>
    </r>
    <r>
      <rPr>
        <sz val="10"/>
        <color theme="1"/>
        <rFont val="Calibri"/>
        <family val="2"/>
        <scheme val="minor"/>
      </rPr>
      <t xml:space="preserve">
- для неработающих студентов максимальная страховая сумма составляет 1 000 000 RUR / 14 200 €/ 16 600 USD;
- для работающих студентов максимальная страховая сумма составляет 5-ти кратную (для рисков НС) или 10-кратную (только для рисков по любой причине) сумму среднегодового дохода от стипендии + среднегодового дохода от собственной проф.деятельности.
</t>
    </r>
    <r>
      <rPr>
        <b/>
        <sz val="10"/>
        <color theme="1"/>
        <rFont val="Calibri"/>
        <family val="2"/>
        <charset val="204"/>
        <scheme val="minor"/>
      </rPr>
      <t xml:space="preserve">
При страховании домохозяек, неработающих пенсионеров, безработных максимальная страховая сумма:</t>
    </r>
    <r>
      <rPr>
        <sz val="10"/>
        <color theme="1"/>
        <rFont val="Calibri"/>
        <family val="2"/>
        <scheme val="minor"/>
      </rPr>
      <t xml:space="preserve"> 1 000 000 RUR / 14 200 €/ 16 600 USD.
Для работающих пенсионеров действуют лимиты как для работающих граждан. 
</t>
    </r>
  </si>
  <si>
    <t>60 и старше</t>
  </si>
  <si>
    <t xml:space="preserve">55-59 </t>
  </si>
  <si>
    <t xml:space="preserve">50-54 </t>
  </si>
  <si>
    <t>Не являюсь кормильцем</t>
  </si>
  <si>
    <t>Работающий студент</t>
  </si>
  <si>
    <t>45-49</t>
  </si>
  <si>
    <t>Не в браке</t>
  </si>
  <si>
    <t>Женский</t>
  </si>
  <si>
    <t xml:space="preserve">35-44 </t>
  </si>
  <si>
    <t>В браке</t>
  </si>
  <si>
    <t>Мужской</t>
  </si>
  <si>
    <t xml:space="preserve">до 34 </t>
  </si>
  <si>
    <t>Пенсионер</t>
  </si>
  <si>
    <t>Инв</t>
  </si>
  <si>
    <t>Семейное положение</t>
  </si>
  <si>
    <t>Есть работа</t>
  </si>
  <si>
    <t>2023.3.4</t>
  </si>
  <si>
    <t>Доход в 2021 году</t>
  </si>
  <si>
    <t>Доход в 2022 году</t>
  </si>
  <si>
    <t>ДОПОЛНИТЕЛЬНЫЕ ОПЦИИ</t>
  </si>
  <si>
    <t>Любительский спорт</t>
  </si>
  <si>
    <r>
      <t xml:space="preserve">Дополнительно договором страхования покрываются события связанные со следующими видами спорта: конный спорт, родео, стрельба, серфинг, вейкбординг, дайвинг, катание на водных мотоциклах, виндсерфинг, снорклинг, прыжки с трамплина в воду, парусный спорт, езда на моторном катере, катание на водных лыжах, подводное ориентирование, подводная охота, апноэ (фридайвинг), акватлон (подводная борьба), фристайл, прыжки на лыжах с трамплина, бокс, кикбоксинг, тайский бокс, армрестлинг, езда на горном велосипеде, планеризм, дельтапланеризм, парасейлинг, парашютный спорт, скайсерфинг, охота, походы и горный туризм, спелеотуризм, каноинг, каякинг, гребля на байдарке (гребной слалом), кайтинг, рафтинг (спортивный сплав), банджи-джампинг, паркур, зорбинг.
</t>
    </r>
    <r>
      <rPr>
        <i/>
        <sz val="12"/>
        <color theme="1"/>
        <rFont val="Calibri"/>
        <family val="2"/>
        <charset val="204"/>
        <scheme val="minor"/>
      </rPr>
      <t>Любительский спорт не предполагает участие в спортивных соревнованиях с целью получения спортивного звания и разряда, и/или с целью получения дохода.</t>
    </r>
  </si>
  <si>
    <t>Тест</t>
  </si>
  <si>
    <t>1. Определите размер страховой суммы интересующий клиента</t>
  </si>
  <si>
    <t>В качестве вспомогательного инструмента Вы можете использовать подборщик страховой суммы
(на вкладке "Подбор суммы")</t>
  </si>
  <si>
    <t>2. Заполните следующие поля на вкладке "Расчет программы":</t>
  </si>
  <si>
    <t>3. Нажмите кнопку "РАССЧИТАТЬ" на вкладке "Расчет программы"</t>
  </si>
  <si>
    <t>4. Распечатайте и передайте клиенту информацию с вкладки "Предложение для клиента"</t>
  </si>
  <si>
    <t>Пакет Критика с лечением (Программа для БФКО PB)</t>
  </si>
  <si>
    <r>
      <rPr>
        <b/>
        <sz val="12"/>
        <color theme="1"/>
        <rFont val="Calibri"/>
        <family val="2"/>
        <charset val="204"/>
        <scheme val="minor"/>
      </rPr>
      <t>Настоящий расчет является индикативным</t>
    </r>
    <r>
      <rPr>
        <sz val="12"/>
        <color theme="1"/>
        <rFont val="Calibri"/>
        <family val="2"/>
        <charset val="204"/>
        <scheme val="minor"/>
      </rPr>
      <t>, подготовлен исключительно для информационных целей на основе данных, предоставленных потенциальным клиентом, и не является предложением (офертой) заключить договор в соответствии со ст. 435 Гражданского кодекса РФ. Размер страховой суммы и страховой премии (страхового взноса) в договоре страхования могут отличаться от указанных в настоящем расчёте (в том числе, помимо прочего, в связи с предоставлением дополнительной информации, имеющей существенное значение для определения вероятности наступления страхового случая и страхового риска).</t>
    </r>
  </si>
  <si>
    <r>
      <t xml:space="preserve">Есть ли незащищенные (незастрахованные) кредиты? 
</t>
    </r>
    <r>
      <rPr>
        <sz val="10"/>
        <rFont val="Calibri"/>
        <family val="2"/>
        <charset val="204"/>
        <scheme val="minor"/>
      </rPr>
      <t>(Размер кредита при наличии)</t>
    </r>
  </si>
  <si>
    <r>
      <t xml:space="preserve">Доля вашего дохода в семейном бюджете </t>
    </r>
    <r>
      <rPr>
        <sz val="10"/>
        <rFont val="Calibri"/>
        <family val="2"/>
        <charset val="204"/>
        <scheme val="minor"/>
      </rPr>
      <t>(если вы не единственный кормилец)</t>
    </r>
  </si>
  <si>
    <t>Срок действия договора (от 1 до 30 лет)</t>
  </si>
  <si>
    <t>Страховая сумма (мин 1 000 000 руб)</t>
  </si>
  <si>
    <t>Возраст (18 - 70 лет)</t>
  </si>
  <si>
    <t>Возраст на дату окончания (не более 75 лет)</t>
  </si>
  <si>
    <t>Возраст (18 - 63 года)</t>
  </si>
  <si>
    <t xml:space="preserve">Любительский спорт* </t>
  </si>
  <si>
    <r>
      <t xml:space="preserve">*покрытие по событиям, связанными с занятием следующими видами спорта: конный спорт, родео, стрельба, серфинг, вейкбординг, дайвинг, катание на водных мотоциклах, виндсерфинг, снорклинг, прыжки с трамплина в воду, парусный спорт, езда на моторном катере, катание на водных лыжах, подводное ориентирование, подводная охота, апноэ (фридайвинг), акватлон (подводная борьба), фристайл, прыжки на лыжах с трамплина, бокс, кикбоксинг, тайский бокс, армрестлинг, езда на горном велосипеде, планеризм, дельтапланеризм, парасейлинг, парашютный спорт, скайсерфинг, охота, походы и горный туризм, спелеотуризм, каноинг, каякинг, гребля на байдарке (гребной слалом), кайтинг, рафтинг (спортивный сплав), банджи-джампинг, паркур, зорбинг.
Любительский спорт </t>
    </r>
    <r>
      <rPr>
        <b/>
        <i/>
        <sz val="10"/>
        <color theme="0" tint="-0.499984740745262"/>
        <rFont val="Calibri"/>
        <family val="2"/>
        <charset val="204"/>
        <scheme val="minor"/>
      </rPr>
      <t>не предполагает участие в спортивных соревнованиях с целью получения спортивного звания и разряда, и/или с целью получения дохода.</t>
    </r>
  </si>
  <si>
    <t>ИНСТРУКЦИЯ ПО РАСЧЕТУ ПРОГРАММЫ "НА ВСЯКИЙ СЛУЧАЙ 2.0."</t>
  </si>
  <si>
    <t>Благодарим Вас за проявленный интерес к программе страхования жизни "На всякий случай 2.0"</t>
  </si>
  <si>
    <t>Программа "На всякий случай 2.0" - это долгосрочная финансовая защита для вас и ваших близких</t>
  </si>
  <si>
    <t>Ваш персональный предварительный расчет по программе "На всякий случай 2.0":</t>
  </si>
  <si>
    <t>Город</t>
  </si>
  <si>
    <t>МЦ Здоровье</t>
  </si>
  <si>
    <t>353680, Краснодарский край, г. Ейск, ул. Карла Либкнехта, д. 58</t>
  </si>
  <si>
    <t>ДО «Ейский» Филиала № 2351 Банка ВТБ (ПАО)</t>
  </si>
  <si>
    <t>Ейск</t>
  </si>
  <si>
    <t>Сова</t>
  </si>
  <si>
    <t>Медгард</t>
  </si>
  <si>
    <t>ГБУЗ СГКБ № 1 им.Гордеева</t>
  </si>
  <si>
    <t>Областной клинический кардиологический диспансер</t>
  </si>
  <si>
    <t>ГУЗ СОКГВВ</t>
  </si>
  <si>
    <t>410002, Саратовская область, г. Саратов, ул. им. М.Ю. Лермонтова д. 28а</t>
  </si>
  <si>
    <t>ОО «На Лермонтова» Филиала № 6318 Банка ВТБ (ПАО)</t>
  </si>
  <si>
    <t>Саратов</t>
  </si>
  <si>
    <t>ЛДЦ МИБС</t>
  </si>
  <si>
    <t>ГК Эксперт</t>
  </si>
  <si>
    <t>Медицинский центр Гармония Здоровья</t>
  </si>
  <si>
    <t>ФГБНЦ ТНИМЦ РАН</t>
  </si>
  <si>
    <t>634050, Томская область, г. Томск, пр-т Комсомольский д. 70</t>
  </si>
  <si>
    <t>ОО «На Кирова» Филиала № 5440 Банка ВТБ (ПАО)</t>
  </si>
  <si>
    <t>Томск</t>
  </si>
  <si>
    <t>Здоровое поколение</t>
  </si>
  <si>
    <t>НУЗ "Узловая больница на ст.Новокузнецк ОАО "РЖД"</t>
  </si>
  <si>
    <t>654007, Кемеровская область, г. Новокузнецк, ул. Орджоникидзе, д. 29</t>
  </si>
  <si>
    <t>ОО «Новокузнецкий» Филиала № 5440 Банка ВТБ (ПАО)</t>
  </si>
  <si>
    <t>Новокузнецк</t>
  </si>
  <si>
    <t>Ультрамед</t>
  </si>
  <si>
    <t>Промедика</t>
  </si>
  <si>
    <t>Медицинский центр «АртМед»</t>
  </si>
  <si>
    <t>ГК «Эксперт»</t>
  </si>
  <si>
    <t>БУЗ ОО КДЦ</t>
  </si>
  <si>
    <t>644043, Омская область, г. Омск, ул. Тарская, д. 14</t>
  </si>
  <si>
    <t>ОО «Центральный» Филиала № 5440 Банка ВТБ (ПАО)</t>
  </si>
  <si>
    <t>Омск</t>
  </si>
  <si>
    <t>Эскулап +</t>
  </si>
  <si>
    <t>НУЗ "Отделенческая клиническая  больница на ст. Оренбург  ОАО "РЖД"</t>
  </si>
  <si>
    <t>460000, Оренбургская область, г. Оренбург, ул. Постникова, д. 9б</t>
  </si>
  <si>
    <t>РОО «Оренбургский»</t>
  </si>
  <si>
    <t>Оренбург</t>
  </si>
  <si>
    <t>Новомед</t>
  </si>
  <si>
    <t>Надежда</t>
  </si>
  <si>
    <t xml:space="preserve">Арсмедика </t>
  </si>
  <si>
    <t>НУЗ  «Дорожная больница на станции Калининград ОАО « РЖД»</t>
  </si>
  <si>
    <t>236006, Калининградская область, г. Калининград, Ленинский пр-т, д. 28</t>
  </si>
  <si>
    <t>ОО «На Ленинском проспекте» Филиала № 7806 Банка ВТБ (ПАО)</t>
  </si>
  <si>
    <t>Калининград</t>
  </si>
  <si>
    <t>Медицинский центр «Медлайт»</t>
  </si>
  <si>
    <t>МареМед</t>
  </si>
  <si>
    <t>Консультативно-диагностический центр</t>
  </si>
  <si>
    <t>НУЗ "Дорожная больница на ст. Южно-Сахалинск ОАО "РЖД"</t>
  </si>
  <si>
    <t>693000, Сахалинская область, г. Южно-Сахалинск, yл. Ленина, д. 234</t>
  </si>
  <si>
    <t>РОО «Сахалинский»</t>
  </si>
  <si>
    <t>Южно-Сахалинск</t>
  </si>
  <si>
    <t>Эксперт Иркутск</t>
  </si>
  <si>
    <t>Центр Молекулярной диагностики</t>
  </si>
  <si>
    <t>ЧУЗ КБ РЖД-Медицина г. Иркутск</t>
  </si>
  <si>
    <t>664025, Иркутская область, г. Иркутск, ул. Российская, д. 10</t>
  </si>
  <si>
    <t>ОО «Байкальский Прайм»</t>
  </si>
  <si>
    <t>Иркутск</t>
  </si>
  <si>
    <t>Энергия жизни</t>
  </si>
  <si>
    <t>Медлайн</t>
  </si>
  <si>
    <t>Медицинский центр «МДТ»</t>
  </si>
  <si>
    <t>Медицинский центр «Гармония Здоровья»</t>
  </si>
  <si>
    <t>Клиника доктора Маханова</t>
  </si>
  <si>
    <t>Живоносный родник</t>
  </si>
  <si>
    <t>Евромед</t>
  </si>
  <si>
    <t>ЧУЗ "РЖД-Медицина г. Белгород"</t>
  </si>
  <si>
    <t>308001, Белгородская область, г. Белгород, пр-т Белгородский, д. 54</t>
  </si>
  <si>
    <t>ОО «Белый город»</t>
  </si>
  <si>
    <t>Белгород</t>
  </si>
  <si>
    <t>Медицинский центр «Лотос»</t>
  </si>
  <si>
    <t>Медицинский центр «Кемма»</t>
  </si>
  <si>
    <t>НУЗ "Дорожная клиническая больница на ст. Челябинск ОАО "РЖД"</t>
  </si>
  <si>
    <t>454080, Челябинская область, г. Челябинск, ул. Лесопарковая, д. 7</t>
  </si>
  <si>
    <t>ОО «Университетский»</t>
  </si>
  <si>
    <t>Челябинск</t>
  </si>
  <si>
    <t>Наша клиника</t>
  </si>
  <si>
    <t>Клиника Современных Технологий</t>
  </si>
  <si>
    <t>ЧУЗ "КБ "РЖД-Медицина" г. Хабаровск"</t>
  </si>
  <si>
    <t>680000, Хабаровский край, г. Хабаровск, ул. Комсомольская, д. 80</t>
  </si>
  <si>
    <t>ДО «Амурский»</t>
  </si>
  <si>
    <t>Хабаровск</t>
  </si>
  <si>
    <t>Клиника Семейная</t>
  </si>
  <si>
    <t>НУЗ  «Отделенческая больница на станции Тула ОАО « РЖД»</t>
  </si>
  <si>
    <t>300041, Тульская область, г. Тула, ул. Тургеневская, д. 59</t>
  </si>
  <si>
    <t>ОО «Баташёвский»</t>
  </si>
  <si>
    <t>Тула</t>
  </si>
  <si>
    <t xml:space="preserve">122 МСЧ </t>
  </si>
  <si>
    <t>Клиники GMS</t>
  </si>
  <si>
    <t>Госпиталь Оркли</t>
  </si>
  <si>
    <t>"АНО медицинский центр 21 век"</t>
  </si>
  <si>
    <t>Клиники Медси</t>
  </si>
  <si>
    <t>Клиника "Скандинавия"</t>
  </si>
  <si>
    <t>Международный медицицинский центр "СОГАЗ"</t>
  </si>
  <si>
    <t>191123, г. Санкт-Петербург, ул. Шпалерная, д. 40а</t>
  </si>
  <si>
    <t>ДО «На Шпалерной»</t>
  </si>
  <si>
    <t>ОКДЦ ПАО "Газпром"</t>
  </si>
  <si>
    <t>Клиника "Будь Здоров"</t>
  </si>
  <si>
    <t>ММЦ Согаз</t>
  </si>
  <si>
    <t>191186, г. Санкт-Петербург, Аптекарский пер, д. 5</t>
  </si>
  <si>
    <t>ДО «На Мойке»</t>
  </si>
  <si>
    <t>НУЗ "Дорожная клиническая больница ОАО "РЖД"</t>
  </si>
  <si>
    <t>ФГБУ КБ ФМБА</t>
  </si>
  <si>
    <t>ФГБУ НМИЦ В.А. Алмазова</t>
  </si>
  <si>
    <t>199034, г. Санкт-Петербург, Большой пр-т В.О., д.10, лит. А</t>
  </si>
  <si>
    <t>ДО «Василеостровский»</t>
  </si>
  <si>
    <t>Санкт-Петербург</t>
  </si>
  <si>
    <t>Самарский диагностический центр</t>
  </si>
  <si>
    <t>Матрешка</t>
  </si>
  <si>
    <t>Клиника доктора Андреева</t>
  </si>
  <si>
    <t>АльфаЦентрЗдоровья</t>
  </si>
  <si>
    <t>ГБУЗ СОКОД</t>
  </si>
  <si>
    <t>443001, Самарская область, г. Самара, ул. Ульяновская, д. 53</t>
  </si>
  <si>
    <t>ДО «Георгиевский»</t>
  </si>
  <si>
    <t>Самара</t>
  </si>
  <si>
    <t>Я - Здоров!</t>
  </si>
  <si>
    <t>Клиника Медси</t>
  </si>
  <si>
    <t>НУЗ "ДКБ на ст.Ростов-Главный ОАО "РЖД"</t>
  </si>
  <si>
    <t>344010, Ростовская область, г. Ростов-на-Дону, пер. Университетский, д. 129</t>
  </si>
  <si>
    <t>ОО «Скобелевский»</t>
  </si>
  <si>
    <t>Ростов-на-Дону</t>
  </si>
  <si>
    <t>Смитра</t>
  </si>
  <si>
    <t>СемьяМед</t>
  </si>
  <si>
    <t>Претор</t>
  </si>
  <si>
    <t>НИИКЭЛ</t>
  </si>
  <si>
    <t>НУЗ "Дорожная клиническая больница на станции Новосибирск-Главный ОАО "РЖД"</t>
  </si>
  <si>
    <t>630007, Новосибирская область, г. Новосибирск, Красный пр-т, д. 16</t>
  </si>
  <si>
    <t>ДО «Николаевский»</t>
  </si>
  <si>
    <t>Новосибирск</t>
  </si>
  <si>
    <t>ЦЛД Тонус премиум</t>
  </si>
  <si>
    <t>МЦ Тонус</t>
  </si>
  <si>
    <t>МЦ Волготрансгаз</t>
  </si>
  <si>
    <t>O'live</t>
  </si>
  <si>
    <t>ДКБ на ст. Нижний Новгород ОАО «РЖД»</t>
  </si>
  <si>
    <t>603001, Нижегородская область, г. Нижний Новгород, ул. Рождественская, д. 36</t>
  </si>
  <si>
    <t>ОО «Строгановский»</t>
  </si>
  <si>
    <t>Нижний Новгород</t>
  </si>
  <si>
    <t>Медэксперт</t>
  </si>
  <si>
    <t>МРТ Лидер</t>
  </si>
  <si>
    <t>Сити-Клиник</t>
  </si>
  <si>
    <t>Екатерининская</t>
  </si>
  <si>
    <t>НУЗ "Отделенческая клиническая больница на ст. Краснодар ОАО "РЖД"</t>
  </si>
  <si>
    <t>350000, Краснодарский край, г. Краснодар, ул. Ленина, д.82/ ул. Суворова, д. 105</t>
  </si>
  <si>
    <t>ДО «Екатерининский»</t>
  </si>
  <si>
    <t>Краснодар</t>
  </si>
  <si>
    <t>УГМК-Здоровье</t>
  </si>
  <si>
    <t>СМТ-клиник</t>
  </si>
  <si>
    <t>Медицинский центр «Олмед»</t>
  </si>
  <si>
    <t>МЦ Доктор+</t>
  </si>
  <si>
    <t>Медицинский центр «Пеан»</t>
  </si>
  <si>
    <t>Медицинский центр «Здоровое детство»</t>
  </si>
  <si>
    <t>Здоровье 365</t>
  </si>
  <si>
    <t>ГБУЗ СО СООД</t>
  </si>
  <si>
    <t>620014, Свердловская область, г. Екатеринбург, ул. Бориса Ельцина, д. 1А</t>
  </si>
  <si>
    <t>ДО «Персональный»</t>
  </si>
  <si>
    <t>Екатеринбург</t>
  </si>
  <si>
    <t>Здоровье семьи</t>
  </si>
  <si>
    <t>Институт Здоровья</t>
  </si>
  <si>
    <t>МЦ Радужный</t>
  </si>
  <si>
    <t>ООО «ЛДЦ МИБС-Чебоксары»</t>
  </si>
  <si>
    <t>Клиника «Доктор Заботик»</t>
  </si>
  <si>
    <t>Легамед</t>
  </si>
  <si>
    <t>Частная клиника Медик</t>
  </si>
  <si>
    <t>Медицинский центр «София»</t>
  </si>
  <si>
    <t>428003, Чувашская Республика, г. Чебоксары, ул. Нижег.ская, д. 4</t>
  </si>
  <si>
    <t>ОО «Волжский»</t>
  </si>
  <si>
    <t>Чебоксары</t>
  </si>
  <si>
    <t>Саламат</t>
  </si>
  <si>
    <t>ММЦ им.Бузаева</t>
  </si>
  <si>
    <t>МедикалОнГрупп</t>
  </si>
  <si>
    <t>МЕГИ</t>
  </si>
  <si>
    <t>GIM Сlinic</t>
  </si>
  <si>
    <t>ЧУЗ "КБ "РЖД-Медицина" г. Уфа"</t>
  </si>
  <si>
    <t>450077, Республика Башкортостан, г. Уфа, ул. Кирова, д. 5</t>
  </si>
  <si>
    <t>ОО «Александровский»</t>
  </si>
  <si>
    <t>Уфа</t>
  </si>
  <si>
    <t>СмартКлиник</t>
  </si>
  <si>
    <t>МРТ-Лидер</t>
  </si>
  <si>
    <t>Медицинский центр "Никойл"</t>
  </si>
  <si>
    <t>ГБУЗ ТО ОКБ №1</t>
  </si>
  <si>
    <t>625000, Тюменская область, г. Тюмень, ул. Челюскинцев д. 1, стр. 2</t>
  </si>
  <si>
    <t>ОО «Знаменский»</t>
  </si>
  <si>
    <t>Тюмень</t>
  </si>
  <si>
    <t>Новая клиника</t>
  </si>
  <si>
    <t>Наджа</t>
  </si>
  <si>
    <t>Медицинская клиника «Заветное Здоровье»</t>
  </si>
  <si>
    <t>Клиника «Медлайн»</t>
  </si>
  <si>
    <t>Альфа Доктор</t>
  </si>
  <si>
    <t>MacroClinic</t>
  </si>
  <si>
    <t>ЧУЗ "Клиническая больница "РЖД-Медицина" г. Сургут"</t>
  </si>
  <si>
    <t>628043, Ханты-Мансийский автономный округ-Югра, г. Сургут, пр-т Мира, д. 1</t>
  </si>
  <si>
    <t>ОО «Сибирский»</t>
  </si>
  <si>
    <t>Сургут</t>
  </si>
  <si>
    <t>Медицинский центр «Любимый Доктор»</t>
  </si>
  <si>
    <t>ЧУЗ "Клиническая больница "РЖД-Медицина" города Пермь"</t>
  </si>
  <si>
    <t>614000, Пермский край, г. Пермь, ул. Краснова, д. 14/Сибирская, д. 37</t>
  </si>
  <si>
    <t>ОО «Камский»</t>
  </si>
  <si>
    <t>Пермь</t>
  </si>
  <si>
    <t>Медицинский центр «Реновацио»</t>
  </si>
  <si>
    <t>Медицинский центр «Медюнион»</t>
  </si>
  <si>
    <t>Медицинский центр «Русал»</t>
  </si>
  <si>
    <t>Медицинский центр «Медикал Он Груп»</t>
  </si>
  <si>
    <t>Южно-Сахалинска</t>
  </si>
  <si>
    <t>Клиника «Добрый доктор»</t>
  </si>
  <si>
    <t>Челябинска</t>
  </si>
  <si>
    <t>Чебоксар</t>
  </si>
  <si>
    <t>Альмед</t>
  </si>
  <si>
    <t>Хабаровска</t>
  </si>
  <si>
    <t>ЧУЗ "Клиническая больница  "РЖД-Медицина" города Красноярск"</t>
  </si>
  <si>
    <t>660017, Красноярский край, г. Красноярск, ул. Красной Армии, д. 12</t>
  </si>
  <si>
    <t>ОО «Енисейский»</t>
  </si>
  <si>
    <t>Красноярск</t>
  </si>
  <si>
    <t>Уфы</t>
  </si>
  <si>
    <t xml:space="preserve"> «Красная Горка» </t>
  </si>
  <si>
    <t>Тюмени</t>
  </si>
  <si>
    <t xml:space="preserve">Клиника  «Здоровое поколение» </t>
  </si>
  <si>
    <t>Тулы</t>
  </si>
  <si>
    <t>Центр здоровья "Novella"</t>
  </si>
  <si>
    <t>Томска</t>
  </si>
  <si>
    <t>НУЗ "ОБ на ст. Кемерово ОАО "РЖД"</t>
  </si>
  <si>
    <t>650025, Кемеровская область, г. Кемерово, ул. Черняховского, д. 2</t>
  </si>
  <si>
    <t>ОО «Кемеровский-Прайм»</t>
  </si>
  <si>
    <t>Кемерово</t>
  </si>
  <si>
    <t>Сургута</t>
  </si>
  <si>
    <t>Клиника «Эрда Медицина»</t>
  </si>
  <si>
    <t>Саратова</t>
  </si>
  <si>
    <t>Медицинский центр «НЭО»</t>
  </si>
  <si>
    <t>Самары</t>
  </si>
  <si>
    <t>Ростова-на-Дону</t>
  </si>
  <si>
    <t xml:space="preserve">Медицинский Центр «Здоровье семьи» </t>
  </si>
  <si>
    <t>Перми</t>
  </si>
  <si>
    <t>ЛДЦ «БИОМЕД»</t>
  </si>
  <si>
    <t>Оренбурга</t>
  </si>
  <si>
    <t>Клиника «Ам Медика»</t>
  </si>
  <si>
    <t>Омска</t>
  </si>
  <si>
    <t>МЦ «Айболит»</t>
  </si>
  <si>
    <t>Новосибирска</t>
  </si>
  <si>
    <t>Новокузнецка</t>
  </si>
  <si>
    <t>Скандинавия</t>
  </si>
  <si>
    <t>Нижнего Новгорода</t>
  </si>
  <si>
    <t>ГАУЗ РКОД</t>
  </si>
  <si>
    <t>420107, Республика Татарстан, г. Казань, ул. Петербургская, д. 80</t>
  </si>
  <si>
    <t>ОО «Казанский»</t>
  </si>
  <si>
    <t>Казань</t>
  </si>
  <si>
    <t>Красноярска</t>
  </si>
  <si>
    <t>Клиника Медицея</t>
  </si>
  <si>
    <t>Краснодара</t>
  </si>
  <si>
    <t>Медсервис</t>
  </si>
  <si>
    <t>Докториус (Авиценна)</t>
  </si>
  <si>
    <t>Калининграда</t>
  </si>
  <si>
    <t>Доктор Плюс</t>
  </si>
  <si>
    <t>Казани</t>
  </si>
  <si>
    <t>БУЗ УР РКОД</t>
  </si>
  <si>
    <t>Иркутска</t>
  </si>
  <si>
    <t>426011, Удмуртская Республика, г. Ижевск, ул. 10 Октября, д. 8а</t>
  </si>
  <si>
    <t>ОО «Дерябинский»</t>
  </si>
  <si>
    <t>Ижевск</t>
  </si>
  <si>
    <t>Ижевска</t>
  </si>
  <si>
    <t>Екатеринбурга</t>
  </si>
  <si>
    <t>Город Здоровья</t>
  </si>
  <si>
    <t>Ейска</t>
  </si>
  <si>
    <t>Чудо доктор</t>
  </si>
  <si>
    <t>Воронежа</t>
  </si>
  <si>
    <t>Воронеж</t>
  </si>
  <si>
    <t>ГБУЗ ВОКБ № 1</t>
  </si>
  <si>
    <t>394036, Воронежская область, г. Воронеж, ул. Средне-Московская, д. 1д</t>
  </si>
  <si>
    <t>ДО «Никитинский»</t>
  </si>
  <si>
    <t>Владивостока</t>
  </si>
  <si>
    <t>Владивосток</t>
  </si>
  <si>
    <t>Белгорода</t>
  </si>
  <si>
    <t>Pacific International Hospital</t>
  </si>
  <si>
    <t>Санкт-Петербурга</t>
  </si>
  <si>
    <t>Медицинский диагностический центр "Мед экперт"</t>
  </si>
  <si>
    <t>Москвы</t>
  </si>
  <si>
    <t>Москва</t>
  </si>
  <si>
    <t>МЦ ДВФУ</t>
  </si>
  <si>
    <t>690091, Приморский край, г. Владивосток, ул. Мордовцева, д. 8</t>
  </si>
  <si>
    <t>ОО «Дальневосточный»</t>
  </si>
  <si>
    <t>Род. падеж</t>
  </si>
  <si>
    <t>Список городов</t>
  </si>
  <si>
    <t>ЛПУ</t>
  </si>
  <si>
    <t>Адрес</t>
  </si>
  <si>
    <t>Наименование офиса</t>
  </si>
  <si>
    <t>Город присутствия</t>
  </si>
  <si>
    <t>БЕСПЛАТНЫЙ МЕДИЦИНСКИЙ ЧЕК-АП</t>
  </si>
  <si>
    <t xml:space="preserve">Вы можете воспользоваться уникальной опцией и пройти бесплатное комплексное медицинское обследование в лучших клиниках Москвы и регионов. </t>
  </si>
  <si>
    <r>
      <t xml:space="preserve">КАЛЬКУЛЯТОР "НА ВСЯКИЙ СЛУЧАЙ 2.0."
</t>
    </r>
    <r>
      <rPr>
        <b/>
        <sz val="11"/>
        <color rgb="FF990032"/>
        <rFont val="Calibri"/>
        <family val="2"/>
        <charset val="204"/>
        <scheme val="minor"/>
      </rPr>
      <t>ПРОГРАММА ДЛЯ СОТРУДНИКОВ</t>
    </r>
  </si>
  <si>
    <t>Размер страхового 
взноса по риску</t>
  </si>
  <si>
    <t>1010000000ТЕСТМУЖСКОЙ34335ДА</t>
  </si>
  <si>
    <t>Доход в 2023 году</t>
  </si>
  <si>
    <t>Размер стипендии за 2023 год (для работающих студентов)</t>
  </si>
  <si>
    <t>Организация лечения в пределах страховой суммы в год</t>
  </si>
  <si>
    <t>Ежегодно</t>
  </si>
  <si>
    <t>ВКЛ</t>
  </si>
  <si>
    <t>14.06.1990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</si>
</sst>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\ _₽_-;\-* #,##0\ _₽_-;_-* &quot;-&quot;\ _₽_-;_-@_-"/>
    <numFmt numFmtId="165" formatCode="_-* #,##0.00\ _₽_-;\-* #,##0.00\ _₽_-;_-* &quot;-&quot;??\ _₽_-;_-@_-"/>
    <numFmt numFmtId="166" formatCode="0.000%"/>
    <numFmt numFmtId="167" formatCode="_-* #,##0.00_р_._-;\-* #,##0.00_р_._-;_-* &quot;-&quot;??_р_._-;_-@_-"/>
    <numFmt numFmtId="168" formatCode="[$-419]mmmm\ yyyy;@"/>
    <numFmt numFmtId="169" formatCode="0.0000%"/>
    <numFmt numFmtId="170" formatCode="#,##0.00\ &quot;₽&quot;"/>
    <numFmt numFmtId="171" formatCode="#,##0.00\ _₽"/>
    <numFmt numFmtId="172" formatCode="0.0000"/>
    <numFmt numFmtId="173" formatCode="0.0%"/>
    <numFmt numFmtId="174" formatCode="00"/>
    <numFmt numFmtId="175" formatCode="0.000"/>
    <numFmt numFmtId="176" formatCode="General_)"/>
    <numFmt numFmtId="177" formatCode="_-* #,##0_р_._-;\-* #,##0_р_._-;_-* &quot;-&quot;_р_._-;_-@_-"/>
    <numFmt numFmtId="178" formatCode="0.000000"/>
    <numFmt numFmtId="179" formatCode="0.0"/>
    <numFmt numFmtId="180" formatCode="#,##0.00;;\-"/>
  </numFmts>
  <fonts count="84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11"/>
      <color rgb="FFFF0000"/>
      <name val="Calibri"/>
      <family val="2"/>
      <charset val="204"/>
      <scheme val="minor"/>
    </font>
    <font>
      <sz val="12"/>
      <name val="BERNHARD"/>
    </font>
    <font>
      <sz val="10"/>
      <name val="Courier"/>
      <family val="3"/>
    </font>
    <font>
      <sz val="10"/>
      <name val="Arial"/>
      <family val="2"/>
    </font>
    <font>
      <sz val="10"/>
      <name val="Arial"/>
      <family val="2"/>
      <charset val="204"/>
    </font>
    <font>
      <sz val="11"/>
      <color theme="1"/>
      <name val="Times New Roman"/>
      <family val="2"/>
      <charset val="204"/>
    </font>
    <font>
      <b/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9"/>
      <color rgb="FF7E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4"/>
      <color rgb="FF1E1E46"/>
      <name val="Calibri"/>
      <family val="2"/>
      <charset val="204"/>
      <scheme val="minor"/>
    </font>
    <font>
      <sz val="11"/>
      <color rgb="FF1E1E46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theme="1"/>
      <name val="Tahoma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10"/>
      <color theme="3"/>
      <name val="Arial"/>
      <family val="2"/>
      <charset val="204"/>
    </font>
    <font>
      <sz val="10"/>
      <color theme="3"/>
      <name val="Arial"/>
      <family val="2"/>
      <charset val="204"/>
    </font>
    <font>
      <b/>
      <sz val="10"/>
      <name val="Calibri"/>
      <family val="2"/>
      <charset val="204"/>
    </font>
    <font>
      <b/>
      <sz val="10"/>
      <color rgb="FFFF0000"/>
      <name val="Arial"/>
      <family val="2"/>
      <charset val="204"/>
    </font>
    <font>
      <b/>
      <sz val="10"/>
      <color theme="1"/>
      <name val="Tahoma"/>
      <family val="2"/>
      <charset val="204"/>
    </font>
    <font>
      <i/>
      <u/>
      <sz val="10"/>
      <name val="Arial"/>
      <family val="2"/>
      <charset val="204"/>
    </font>
    <font>
      <sz val="10"/>
      <name val="Tahoma"/>
      <family val="2"/>
      <charset val="204"/>
    </font>
    <font>
      <sz val="10"/>
      <name val="Helv"/>
      <charset val="204"/>
    </font>
    <font>
      <sz val="10"/>
      <color theme="4" tint="-0.249977111117893"/>
      <name val="Tahoma"/>
      <family val="2"/>
      <charset val="204"/>
    </font>
    <font>
      <b/>
      <sz val="10"/>
      <name val="Tahoma"/>
      <family val="2"/>
      <charset val="204"/>
    </font>
    <font>
      <b/>
      <sz val="10"/>
      <color theme="3"/>
      <name val="Tahoma"/>
      <family val="2"/>
      <charset val="204"/>
    </font>
    <font>
      <sz val="11"/>
      <color theme="9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u/>
      <sz val="11"/>
      <name val="Calibri"/>
      <family val="2"/>
      <charset val="204"/>
      <scheme val="minor"/>
    </font>
    <font>
      <b/>
      <sz val="14"/>
      <color theme="3"/>
      <name val="Calibri"/>
      <family val="2"/>
      <charset val="204"/>
      <scheme val="minor"/>
    </font>
    <font>
      <b/>
      <sz val="12"/>
      <color theme="3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b/>
      <sz val="10"/>
      <color rgb="FFFF0000"/>
      <name val="Tahoma"/>
      <family val="2"/>
      <charset val="204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4"/>
      <color rgb="FF990032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b/>
      <sz val="10"/>
      <color rgb="FF990032"/>
      <name val="Calibri"/>
      <family val="2"/>
      <charset val="204"/>
      <scheme val="minor"/>
    </font>
    <font>
      <i/>
      <sz val="10"/>
      <color theme="0" tint="-0.499984740745262"/>
      <name val="Calibri"/>
      <family val="2"/>
      <charset val="204"/>
      <scheme val="minor"/>
    </font>
    <font>
      <b/>
      <i/>
      <sz val="10"/>
      <color theme="0" tint="-0.499984740745262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0"/>
      <color rgb="FF6699FF"/>
      <name val="Calibri"/>
      <family val="2"/>
      <charset val="204"/>
      <scheme val="minor"/>
    </font>
    <font>
      <b/>
      <sz val="10"/>
      <color rgb="FFFFFFFF"/>
      <name val="Calibri"/>
      <family val="2"/>
      <charset val="204"/>
      <scheme val="minor"/>
    </font>
    <font>
      <sz val="11"/>
      <color rgb="FF990032"/>
      <name val="Calibri"/>
      <family val="2"/>
      <charset val="204"/>
      <scheme val="minor"/>
    </font>
    <font>
      <b/>
      <sz val="11"/>
      <color rgb="FF990032"/>
      <name val="Calibri"/>
      <family val="2"/>
      <charset val="20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FF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8C4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BDD1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9003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rgb="FFFFC000"/>
      </patternFill>
    </fill>
    <fill>
      <patternFill patternType="solid">
        <fgColor rgb="FF6699FF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6" tint="-0.249977111117893"/>
      </bottom>
      <diagonal/>
    </border>
    <border>
      <left/>
      <right/>
      <top style="thin">
        <color theme="6" tint="-0.249977111117893"/>
      </top>
      <bottom style="thin">
        <color theme="6" tint="-0.249977111117893"/>
      </bottom>
      <diagonal/>
    </border>
    <border>
      <left/>
      <right/>
      <top style="thin">
        <color theme="0"/>
      </top>
      <bottom style="thin">
        <color theme="6" tint="-0.249977111117893"/>
      </bottom>
      <diagonal/>
    </border>
    <border>
      <left/>
      <right/>
      <top style="thin">
        <color theme="6" tint="-0.249977111117893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6" tint="-0.24994659260841701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6699FF"/>
      </left>
      <right style="thin">
        <color rgb="FF6699FF"/>
      </right>
      <top/>
      <bottom style="thin">
        <color rgb="FF6699FF"/>
      </bottom>
      <diagonal/>
    </border>
    <border>
      <left style="thin">
        <color rgb="FF6699FF"/>
      </left>
      <right style="thin">
        <color rgb="FF6699FF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6699FF"/>
      </left>
      <right style="thin">
        <color rgb="FF6699FF"/>
      </right>
      <top style="thin">
        <color rgb="FF6699FF"/>
      </top>
      <bottom/>
      <diagonal/>
    </border>
    <border>
      <left style="thin">
        <color rgb="FF6699FF"/>
      </left>
      <right style="thin">
        <color rgb="FF6699FF"/>
      </right>
      <top style="thin">
        <color rgb="FF6699FF"/>
      </top>
      <bottom style="thin">
        <color rgb="FF6699FF"/>
      </bottom>
      <diagonal/>
    </border>
  </borders>
  <cellStyleXfs count="32">
    <xf numFmtId="0" fontId="0" fillId="0" borderId="0"/>
    <xf numFmtId="0" fontId="9" fillId="0" borderId="0"/>
    <xf numFmtId="165" fontId="9" fillId="0" borderId="0" applyFont="0" applyFill="0" applyBorder="0" applyAlignment="0" applyProtection="0"/>
    <xf numFmtId="0" fontId="7" fillId="0" borderId="0"/>
    <xf numFmtId="0" fontId="10" fillId="0" borderId="0"/>
    <xf numFmtId="0" fontId="12" fillId="0" borderId="0"/>
    <xf numFmtId="0" fontId="14" fillId="0" borderId="0"/>
    <xf numFmtId="0" fontId="13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15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8" fontId="16" fillId="0" borderId="0"/>
    <xf numFmtId="9" fontId="9" fillId="0" borderId="0" applyFont="0" applyFill="0" applyBorder="0" applyAlignment="0" applyProtection="0"/>
    <xf numFmtId="0" fontId="9" fillId="0" borderId="0"/>
    <xf numFmtId="165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7" fillId="0" borderId="0"/>
    <xf numFmtId="0" fontId="38" fillId="0" borderId="0"/>
    <xf numFmtId="9" fontId="38" fillId="0" borderId="0" applyFont="0" applyFill="0" applyBorder="0" applyAlignment="0" applyProtection="0"/>
    <xf numFmtId="0" fontId="15" fillId="0" borderId="0"/>
    <xf numFmtId="176" fontId="50" fillId="0" borderId="0"/>
    <xf numFmtId="0" fontId="7" fillId="0" borderId="0"/>
    <xf numFmtId="0" fontId="19" fillId="0" borderId="0"/>
  </cellStyleXfs>
  <cellXfs count="565">
    <xf numFmtId="0" fontId="0" fillId="0" borderId="0" xfId="0"/>
    <xf numFmtId="0" fontId="0" fillId="0" borderId="0" xfId="0" applyBorder="1"/>
    <xf numFmtId="0" fontId="11" fillId="0" borderId="0" xfId="0" applyFont="1"/>
    <xf numFmtId="0" fontId="0" fillId="0" borderId="0" xfId="0" applyFont="1"/>
    <xf numFmtId="0" fontId="6" fillId="0" borderId="0" xfId="0" applyFont="1" applyAlignment="1">
      <alignment vertical="center"/>
    </xf>
    <xf numFmtId="0" fontId="0" fillId="0" borderId="0" xfId="0" applyProtection="1">
      <protection hidden="1"/>
    </xf>
    <xf numFmtId="0" fontId="21" fillId="0" borderId="0" xfId="0" applyFont="1" applyAlignment="1" applyProtection="1">
      <alignment horizontal="right" vertical="center"/>
      <protection hidden="1"/>
    </xf>
    <xf numFmtId="0" fontId="23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6" fillId="14" borderId="1" xfId="0" applyFont="1" applyFill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24" fillId="0" borderId="0" xfId="0" applyFont="1" applyAlignment="1"/>
    <xf numFmtId="0" fontId="24" fillId="0" borderId="0" xfId="0" applyFont="1" applyAlignment="1">
      <alignment vertical="center"/>
    </xf>
    <xf numFmtId="0" fontId="6" fillId="2" borderId="1" xfId="0" applyFont="1" applyFill="1" applyBorder="1" applyAlignment="1">
      <alignment vertical="center"/>
    </xf>
    <xf numFmtId="14" fontId="6" fillId="0" borderId="1" xfId="0" applyNumberFormat="1" applyFont="1" applyFill="1" applyBorder="1" applyAlignment="1" applyProtection="1">
      <alignment horizontal="right" vertical="center"/>
      <protection locked="0"/>
    </xf>
    <xf numFmtId="0" fontId="24" fillId="2" borderId="1" xfId="0" applyFont="1" applyFill="1" applyBorder="1" applyAlignment="1">
      <alignment horizontal="center" wrapText="1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18" fillId="0" borderId="0" xfId="0" applyFont="1" applyBorder="1" applyAlignment="1">
      <alignment vertical="top" wrapText="1"/>
    </xf>
    <xf numFmtId="0" fontId="18" fillId="0" borderId="0" xfId="0" applyFont="1" applyAlignment="1">
      <alignment vertical="center"/>
    </xf>
    <xf numFmtId="0" fontId="18" fillId="0" borderId="0" xfId="0" applyFont="1" applyFill="1" applyBorder="1" applyAlignment="1">
      <alignment vertical="center" wrapText="1"/>
    </xf>
    <xf numFmtId="0" fontId="0" fillId="0" borderId="0" xfId="0" applyFont="1" applyBorder="1"/>
    <xf numFmtId="0" fontId="0" fillId="0" borderId="0" xfId="0" applyFont="1" applyBorder="1" applyAlignment="1">
      <alignment wrapText="1"/>
    </xf>
    <xf numFmtId="0" fontId="18" fillId="0" borderId="0" xfId="0" applyFont="1"/>
    <xf numFmtId="0" fontId="18" fillId="0" borderId="0" xfId="0" applyFont="1" applyBorder="1"/>
    <xf numFmtId="0" fontId="18" fillId="0" borderId="0" xfId="0" applyFont="1" applyAlignment="1">
      <alignment horizontal="left" vertical="center"/>
    </xf>
    <xf numFmtId="0" fontId="25" fillId="0" borderId="0" xfId="0" applyFont="1"/>
    <xf numFmtId="14" fontId="6" fillId="14" borderId="1" xfId="0" applyNumberFormat="1" applyFont="1" applyFill="1" applyBorder="1" applyAlignment="1" applyProtection="1">
      <alignment horizontal="right" vertical="center"/>
      <protection locked="0"/>
    </xf>
    <xf numFmtId="1" fontId="5" fillId="0" borderId="1" xfId="0" applyNumberFormat="1" applyFont="1" applyFill="1" applyBorder="1" applyAlignment="1" applyProtection="1">
      <alignment horizontal="right" vertical="center"/>
      <protection locked="0"/>
    </xf>
    <xf numFmtId="0" fontId="19" fillId="0" borderId="0" xfId="0" applyFont="1" applyBorder="1" applyProtection="1">
      <protection hidden="1"/>
    </xf>
    <xf numFmtId="0" fontId="0" fillId="0" borderId="0" xfId="0" applyBorder="1" applyProtection="1">
      <protection hidden="1"/>
    </xf>
    <xf numFmtId="0" fontId="24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1" fontId="6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left"/>
      <protection hidden="1"/>
    </xf>
    <xf numFmtId="0" fontId="3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3" fillId="16" borderId="0" xfId="0" applyFont="1" applyFill="1" applyAlignment="1">
      <alignment horizontal="left" vertical="center"/>
    </xf>
    <xf numFmtId="4" fontId="0" fillId="0" borderId="0" xfId="0" applyNumberFormat="1" applyFont="1" applyBorder="1"/>
    <xf numFmtId="0" fontId="19" fillId="0" borderId="0" xfId="0" applyFont="1" applyBorder="1" applyAlignment="1">
      <alignment vertical="top" wrapText="1"/>
    </xf>
    <xf numFmtId="0" fontId="0" fillId="0" borderId="0" xfId="0" applyProtection="1">
      <protection locked="0"/>
    </xf>
    <xf numFmtId="0" fontId="34" fillId="0" borderId="0" xfId="0" applyFont="1" applyProtection="1">
      <protection hidden="1"/>
    </xf>
    <xf numFmtId="0" fontId="35" fillId="0" borderId="0" xfId="0" applyFont="1" applyProtection="1">
      <protection hidden="1"/>
    </xf>
    <xf numFmtId="0" fontId="11" fillId="0" borderId="0" xfId="0" applyFont="1" applyProtection="1">
      <protection hidden="1"/>
    </xf>
    <xf numFmtId="0" fontId="11" fillId="0" borderId="0" xfId="0" applyFont="1" applyBorder="1"/>
    <xf numFmtId="0" fontId="39" fillId="0" borderId="0" xfId="26" applyFont="1"/>
    <xf numFmtId="0" fontId="39" fillId="0" borderId="0" xfId="26" applyFont="1" applyAlignment="1">
      <alignment horizontal="center"/>
    </xf>
    <xf numFmtId="0" fontId="39" fillId="0" borderId="0" xfId="26" applyFont="1" applyAlignment="1">
      <alignment horizontal="right"/>
    </xf>
    <xf numFmtId="10" fontId="39" fillId="0" borderId="0" xfId="27" applyNumberFormat="1" applyFont="1" applyAlignment="1">
      <alignment horizontal="center"/>
    </xf>
    <xf numFmtId="171" fontId="40" fillId="19" borderId="0" xfId="26" applyNumberFormat="1" applyFont="1" applyFill="1" applyAlignment="1">
      <alignment horizontal="right" indent="1"/>
    </xf>
    <xf numFmtId="0" fontId="41" fillId="19" borderId="0" xfId="26" applyFont="1" applyFill="1" applyAlignment="1">
      <alignment horizontal="right" indent="1"/>
    </xf>
    <xf numFmtId="0" fontId="40" fillId="19" borderId="0" xfId="26" applyFont="1" applyFill="1" applyAlignment="1">
      <alignment horizontal="right"/>
    </xf>
    <xf numFmtId="171" fontId="42" fillId="20" borderId="0" xfId="26" applyNumberFormat="1" applyFont="1" applyFill="1" applyAlignment="1">
      <alignment horizontal="right" indent="1"/>
    </xf>
    <xf numFmtId="169" fontId="15" fillId="20" borderId="0" xfId="27" applyNumberFormat="1" applyFont="1" applyFill="1" applyAlignment="1">
      <alignment horizontal="right" indent="1"/>
    </xf>
    <xf numFmtId="169" fontId="42" fillId="20" borderId="0" xfId="27" applyNumberFormat="1" applyFont="1" applyFill="1" applyAlignment="1">
      <alignment horizontal="right"/>
    </xf>
    <xf numFmtId="171" fontId="43" fillId="21" borderId="0" xfId="26" applyNumberFormat="1" applyFont="1" applyFill="1" applyAlignment="1">
      <alignment horizontal="right" indent="1"/>
    </xf>
    <xf numFmtId="0" fontId="42" fillId="0" borderId="0" xfId="26" applyFont="1" applyAlignment="1">
      <alignment horizontal="center"/>
    </xf>
    <xf numFmtId="0" fontId="40" fillId="0" borderId="0" xfId="26" applyFont="1" applyAlignment="1">
      <alignment horizontal="center"/>
    </xf>
    <xf numFmtId="0" fontId="40" fillId="0" borderId="0" xfId="26" applyFont="1" applyBorder="1" applyAlignment="1">
      <alignment horizontal="center"/>
    </xf>
    <xf numFmtId="0" fontId="40" fillId="0" borderId="0" xfId="26" applyFont="1" applyAlignment="1">
      <alignment horizontal="right"/>
    </xf>
    <xf numFmtId="0" fontId="41" fillId="0" borderId="0" xfId="26" applyFont="1" applyAlignment="1">
      <alignment horizontal="right"/>
    </xf>
    <xf numFmtId="2" fontId="39" fillId="22" borderId="0" xfId="26" applyNumberFormat="1" applyFont="1" applyFill="1" applyAlignment="1">
      <alignment horizontal="right" indent="1"/>
    </xf>
    <xf numFmtId="9" fontId="39" fillId="22" borderId="0" xfId="26" applyNumberFormat="1" applyFont="1" applyFill="1" applyAlignment="1">
      <alignment horizontal="right" indent="1"/>
    </xf>
    <xf numFmtId="0" fontId="39" fillId="0" borderId="0" xfId="26" applyFont="1" applyAlignment="1">
      <alignment horizontal="right" indent="1"/>
    </xf>
    <xf numFmtId="2" fontId="39" fillId="0" borderId="0" xfId="26" applyNumberFormat="1" applyFont="1"/>
    <xf numFmtId="0" fontId="40" fillId="0" borderId="26" xfId="26" applyFont="1" applyBorder="1" applyAlignment="1">
      <alignment horizontal="center"/>
    </xf>
    <xf numFmtId="0" fontId="39" fillId="14" borderId="0" xfId="26" applyFont="1" applyFill="1" applyAlignment="1">
      <alignment horizontal="right"/>
    </xf>
    <xf numFmtId="0" fontId="40" fillId="14" borderId="0" xfId="26" applyFont="1" applyFill="1"/>
    <xf numFmtId="0" fontId="39" fillId="0" borderId="0" xfId="26" applyFont="1" applyBorder="1" applyAlignment="1">
      <alignment horizontal="center"/>
    </xf>
    <xf numFmtId="0" fontId="46" fillId="0" borderId="0" xfId="26" applyFont="1" applyAlignment="1">
      <alignment horizontal="center"/>
    </xf>
    <xf numFmtId="9" fontId="39" fillId="22" borderId="0" xfId="26" applyNumberFormat="1" applyFont="1" applyFill="1" applyAlignment="1">
      <alignment horizontal="center"/>
    </xf>
    <xf numFmtId="172" fontId="44" fillId="12" borderId="0" xfId="26" applyNumberFormat="1" applyFont="1" applyFill="1" applyAlignment="1">
      <alignment horizontal="center"/>
    </xf>
    <xf numFmtId="172" fontId="44" fillId="12" borderId="0" xfId="26" applyNumberFormat="1" applyFont="1" applyFill="1" applyBorder="1" applyAlignment="1">
      <alignment horizontal="center"/>
    </xf>
    <xf numFmtId="10" fontId="44" fillId="12" borderId="0" xfId="27" applyNumberFormat="1" applyFont="1" applyFill="1" applyBorder="1" applyAlignment="1">
      <alignment horizontal="center"/>
    </xf>
    <xf numFmtId="173" fontId="39" fillId="22" borderId="0" xfId="26" applyNumberFormat="1" applyFont="1" applyFill="1" applyAlignment="1">
      <alignment horizontal="center"/>
    </xf>
    <xf numFmtId="0" fontId="39" fillId="0" borderId="0" xfId="26" applyFont="1" applyFill="1" applyBorder="1" applyAlignment="1">
      <alignment horizontal="center"/>
    </xf>
    <xf numFmtId="173" fontId="44" fillId="21" borderId="0" xfId="27" applyNumberFormat="1" applyFont="1" applyFill="1" applyAlignment="1">
      <alignment horizontal="center"/>
    </xf>
    <xf numFmtId="0" fontId="39" fillId="22" borderId="0" xfId="26" applyFont="1" applyFill="1" applyBorder="1" applyAlignment="1">
      <alignment horizontal="center"/>
    </xf>
    <xf numFmtId="0" fontId="43" fillId="21" borderId="0" xfId="26" applyFont="1" applyFill="1" applyAlignment="1">
      <alignment horizontal="right"/>
    </xf>
    <xf numFmtId="173" fontId="39" fillId="0" borderId="0" xfId="27" applyNumberFormat="1" applyFont="1" applyAlignment="1">
      <alignment horizontal="center"/>
    </xf>
    <xf numFmtId="10" fontId="39" fillId="0" borderId="0" xfId="26" applyNumberFormat="1" applyFont="1" applyAlignment="1">
      <alignment horizontal="center"/>
    </xf>
    <xf numFmtId="0" fontId="44" fillId="21" borderId="0" xfId="26" applyFont="1" applyFill="1" applyAlignment="1">
      <alignment horizontal="right"/>
    </xf>
    <xf numFmtId="10" fontId="46" fillId="0" borderId="0" xfId="26" applyNumberFormat="1" applyFont="1" applyAlignment="1">
      <alignment horizontal="center"/>
    </xf>
    <xf numFmtId="0" fontId="38" fillId="0" borderId="0" xfId="26"/>
    <xf numFmtId="0" fontId="38" fillId="0" borderId="0" xfId="26" applyAlignment="1">
      <alignment horizontal="center"/>
    </xf>
    <xf numFmtId="0" fontId="38" fillId="22" borderId="0" xfId="26" applyFill="1"/>
    <xf numFmtId="9" fontId="38" fillId="22" borderId="0" xfId="26" applyNumberFormat="1" applyFill="1" applyAlignment="1">
      <alignment horizontal="center"/>
    </xf>
    <xf numFmtId="174" fontId="38" fillId="0" borderId="0" xfId="26" applyNumberFormat="1" applyAlignment="1">
      <alignment horizontal="center"/>
    </xf>
    <xf numFmtId="0" fontId="39" fillId="22" borderId="0" xfId="26" applyFont="1" applyFill="1" applyAlignment="1">
      <alignment horizontal="right"/>
    </xf>
    <xf numFmtId="0" fontId="38" fillId="22" borderId="0" xfId="26" applyFill="1" applyAlignment="1">
      <alignment horizontal="center"/>
    </xf>
    <xf numFmtId="0" fontId="38" fillId="0" borderId="0" xfId="26" applyAlignment="1">
      <alignment horizontal="right"/>
    </xf>
    <xf numFmtId="172" fontId="38" fillId="22" borderId="0" xfId="26" applyNumberFormat="1" applyFill="1" applyAlignment="1">
      <alignment horizontal="center"/>
    </xf>
    <xf numFmtId="0" fontId="47" fillId="0" borderId="0" xfId="26" applyFont="1" applyAlignment="1">
      <alignment horizontal="center"/>
    </xf>
    <xf numFmtId="166" fontId="44" fillId="12" borderId="0" xfId="27" applyNumberFormat="1" applyFont="1" applyFill="1" applyAlignment="1">
      <alignment horizontal="center"/>
    </xf>
    <xf numFmtId="166" fontId="38" fillId="22" borderId="0" xfId="26" applyNumberFormat="1" applyFill="1" applyAlignment="1">
      <alignment horizontal="center"/>
    </xf>
    <xf numFmtId="169" fontId="38" fillId="22" borderId="0" xfId="26" applyNumberFormat="1" applyFill="1" applyAlignment="1">
      <alignment horizontal="center"/>
    </xf>
    <xf numFmtId="0" fontId="47" fillId="0" borderId="0" xfId="26" applyFont="1" applyAlignment="1">
      <alignment horizontal="left"/>
    </xf>
    <xf numFmtId="0" fontId="15" fillId="0" borderId="0" xfId="28"/>
    <xf numFmtId="0" fontId="48" fillId="0" borderId="0" xfId="28" applyFont="1"/>
    <xf numFmtId="0" fontId="49" fillId="0" borderId="0" xfId="4" applyFont="1"/>
    <xf numFmtId="176" fontId="49" fillId="0" borderId="0" xfId="29" applyFont="1"/>
    <xf numFmtId="177" fontId="49" fillId="0" borderId="0" xfId="29" applyNumberFormat="1" applyFont="1"/>
    <xf numFmtId="174" fontId="49" fillId="0" borderId="0" xfId="29" applyNumberFormat="1" applyFont="1"/>
    <xf numFmtId="3" fontId="51" fillId="0" borderId="27" xfId="29" applyNumberFormat="1" applyFont="1" applyBorder="1"/>
    <xf numFmtId="3" fontId="51" fillId="0" borderId="28" xfId="29" applyNumberFormat="1" applyFont="1" applyBorder="1"/>
    <xf numFmtId="178" fontId="51" fillId="0" borderId="28" xfId="29" applyNumberFormat="1" applyFont="1" applyBorder="1"/>
    <xf numFmtId="1" fontId="51" fillId="22" borderId="27" xfId="29" applyNumberFormat="1" applyFont="1" applyFill="1" applyBorder="1"/>
    <xf numFmtId="177" fontId="51" fillId="0" borderId="28" xfId="29" applyNumberFormat="1" applyFont="1" applyBorder="1"/>
    <xf numFmtId="174" fontId="49" fillId="0" borderId="2" xfId="29" applyNumberFormat="1" applyFont="1" applyBorder="1" applyAlignment="1">
      <alignment horizontal="center"/>
    </xf>
    <xf numFmtId="178" fontId="51" fillId="22" borderId="28" xfId="29" applyNumberFormat="1" applyFont="1" applyFill="1" applyBorder="1"/>
    <xf numFmtId="1" fontId="51" fillId="22" borderId="28" xfId="29" applyNumberFormat="1" applyFont="1" applyFill="1" applyBorder="1"/>
    <xf numFmtId="174" fontId="49" fillId="0" borderId="29" xfId="29" applyNumberFormat="1" applyFont="1" applyBorder="1" applyAlignment="1">
      <alignment horizontal="center"/>
    </xf>
    <xf numFmtId="3" fontId="51" fillId="0" borderId="26" xfId="29" applyNumberFormat="1" applyFont="1" applyBorder="1"/>
    <xf numFmtId="3" fontId="51" fillId="0" borderId="0" xfId="29" applyNumberFormat="1" applyFont="1" applyBorder="1"/>
    <xf numFmtId="178" fontId="51" fillId="0" borderId="0" xfId="29" applyNumberFormat="1" applyFont="1" applyBorder="1"/>
    <xf numFmtId="178" fontId="51" fillId="22" borderId="26" xfId="29" applyNumberFormat="1" applyFont="1" applyFill="1" applyBorder="1"/>
    <xf numFmtId="177" fontId="51" fillId="0" borderId="0" xfId="29" applyNumberFormat="1" applyFont="1" applyBorder="1"/>
    <xf numFmtId="174" fontId="49" fillId="0" borderId="7" xfId="29" applyNumberFormat="1" applyFont="1" applyBorder="1" applyAlignment="1">
      <alignment horizontal="center"/>
    </xf>
    <xf numFmtId="178" fontId="51" fillId="22" borderId="0" xfId="29" applyNumberFormat="1" applyFont="1" applyFill="1" applyBorder="1"/>
    <xf numFmtId="178" fontId="51" fillId="22" borderId="0" xfId="29" applyNumberFormat="1" applyFont="1" applyFill="1"/>
    <xf numFmtId="174" fontId="49" fillId="0" borderId="30" xfId="29" applyNumberFormat="1" applyFont="1" applyBorder="1" applyAlignment="1">
      <alignment horizontal="center"/>
    </xf>
    <xf numFmtId="178" fontId="51" fillId="2" borderId="26" xfId="29" applyNumberFormat="1" applyFont="1" applyFill="1" applyBorder="1"/>
    <xf numFmtId="178" fontId="51" fillId="2" borderId="0" xfId="29" applyNumberFormat="1" applyFont="1" applyFill="1"/>
    <xf numFmtId="174" fontId="49" fillId="0" borderId="7" xfId="29" applyNumberFormat="1" applyFont="1" applyBorder="1" applyAlignment="1">
      <alignment horizontal="center" vertical="center"/>
    </xf>
    <xf numFmtId="174" fontId="49" fillId="0" borderId="30" xfId="29" applyNumberFormat="1" applyFont="1" applyBorder="1" applyAlignment="1">
      <alignment horizontal="center" vertical="center"/>
    </xf>
    <xf numFmtId="3" fontId="51" fillId="0" borderId="31" xfId="29" applyNumberFormat="1" applyFont="1" applyBorder="1"/>
    <xf numFmtId="3" fontId="51" fillId="0" borderId="32" xfId="29" applyNumberFormat="1" applyFont="1" applyBorder="1"/>
    <xf numFmtId="178" fontId="51" fillId="0" borderId="32" xfId="29" applyNumberFormat="1" applyFont="1" applyBorder="1"/>
    <xf numFmtId="178" fontId="51" fillId="22" borderId="31" xfId="29" applyNumberFormat="1" applyFont="1" applyFill="1" applyBorder="1"/>
    <xf numFmtId="177" fontId="51" fillId="0" borderId="32" xfId="29" applyNumberFormat="1" applyFont="1" applyBorder="1"/>
    <xf numFmtId="177" fontId="51" fillId="2" borderId="32" xfId="29" applyNumberFormat="1" applyFont="1" applyFill="1" applyBorder="1"/>
    <xf numFmtId="174" fontId="49" fillId="0" borderId="6" xfId="29" applyNumberFormat="1" applyFont="1" applyBorder="1" applyAlignment="1">
      <alignment horizontal="center"/>
    </xf>
    <xf numFmtId="178" fontId="51" fillId="22" borderId="32" xfId="29" applyNumberFormat="1" applyFont="1" applyFill="1" applyBorder="1"/>
    <xf numFmtId="176" fontId="51" fillId="0" borderId="3" xfId="29" applyFont="1" applyBorder="1" applyAlignment="1">
      <alignment horizontal="center" vertical="center"/>
    </xf>
    <xf numFmtId="176" fontId="51" fillId="0" borderId="5" xfId="29" applyFont="1" applyBorder="1" applyAlignment="1">
      <alignment horizontal="center" vertical="center"/>
    </xf>
    <xf numFmtId="177" fontId="49" fillId="0" borderId="5" xfId="29" applyNumberFormat="1" applyFont="1" applyBorder="1" applyAlignment="1">
      <alignment horizontal="center" vertical="center"/>
    </xf>
    <xf numFmtId="174" fontId="49" fillId="0" borderId="1" xfId="29" applyNumberFormat="1" applyFont="1" applyBorder="1" applyAlignment="1">
      <alignment horizontal="center" vertical="center"/>
    </xf>
    <xf numFmtId="174" fontId="49" fillId="0" borderId="4" xfId="29" applyNumberFormat="1" applyFont="1" applyBorder="1" applyAlignment="1">
      <alignment horizontal="center" vertical="center"/>
    </xf>
    <xf numFmtId="174" fontId="52" fillId="0" borderId="0" xfId="29" applyNumberFormat="1" applyFont="1"/>
    <xf numFmtId="176" fontId="52" fillId="0" borderId="0" xfId="29" applyFont="1"/>
    <xf numFmtId="9" fontId="53" fillId="2" borderId="0" xfId="27" applyFont="1" applyFill="1" applyBorder="1"/>
    <xf numFmtId="1" fontId="51" fillId="22" borderId="27" xfId="29" applyNumberFormat="1" applyFont="1" applyFill="1" applyBorder="1" applyProtection="1"/>
    <xf numFmtId="1" fontId="51" fillId="22" borderId="28" xfId="29" applyNumberFormat="1" applyFont="1" applyFill="1" applyBorder="1" applyProtection="1"/>
    <xf numFmtId="178" fontId="51" fillId="22" borderId="26" xfId="29" applyNumberFormat="1" applyFont="1" applyFill="1" applyBorder="1" applyProtection="1"/>
    <xf numFmtId="178" fontId="51" fillId="22" borderId="0" xfId="29" applyNumberFormat="1" applyFont="1" applyFill="1" applyBorder="1" applyProtection="1"/>
    <xf numFmtId="178" fontId="51" fillId="13" borderId="26" xfId="29" applyNumberFormat="1" applyFont="1" applyFill="1" applyBorder="1" applyProtection="1"/>
    <xf numFmtId="178" fontId="51" fillId="13" borderId="0" xfId="29" applyNumberFormat="1" applyFont="1" applyFill="1" applyBorder="1" applyProtection="1"/>
    <xf numFmtId="9" fontId="38" fillId="0" borderId="0" xfId="26" applyNumberFormat="1"/>
    <xf numFmtId="0" fontId="38" fillId="7" borderId="27" xfId="26" applyFill="1" applyBorder="1" applyAlignment="1">
      <alignment horizontal="center"/>
    </xf>
    <xf numFmtId="0" fontId="38" fillId="23" borderId="28" xfId="26" applyFill="1" applyBorder="1" applyAlignment="1">
      <alignment horizontal="center"/>
    </xf>
    <xf numFmtId="179" fontId="38" fillId="5" borderId="28" xfId="26" applyNumberFormat="1" applyFill="1" applyBorder="1" applyAlignment="1">
      <alignment horizontal="center"/>
    </xf>
    <xf numFmtId="179" fontId="38" fillId="9" borderId="28" xfId="26" applyNumberFormat="1" applyFill="1" applyBorder="1" applyAlignment="1">
      <alignment horizontal="center"/>
    </xf>
    <xf numFmtId="0" fontId="38" fillId="6" borderId="28" xfId="26" applyFill="1" applyBorder="1" applyAlignment="1">
      <alignment horizontal="center"/>
    </xf>
    <xf numFmtId="0" fontId="38" fillId="7" borderId="28" xfId="26" applyFill="1" applyBorder="1" applyAlignment="1">
      <alignment horizontal="center"/>
    </xf>
    <xf numFmtId="0" fontId="38" fillId="24" borderId="29" xfId="26" applyFill="1" applyBorder="1" applyAlignment="1">
      <alignment horizontal="center"/>
    </xf>
    <xf numFmtId="0" fontId="38" fillId="7" borderId="26" xfId="26" applyFill="1" applyBorder="1" applyAlignment="1">
      <alignment horizontal="center"/>
    </xf>
    <xf numFmtId="0" fontId="38" fillId="23" borderId="0" xfId="26" applyFill="1" applyAlignment="1">
      <alignment horizontal="center"/>
    </xf>
    <xf numFmtId="179" fontId="38" fillId="5" borderId="0" xfId="26" applyNumberFormat="1" applyFill="1" applyAlignment="1">
      <alignment horizontal="center"/>
    </xf>
    <xf numFmtId="179" fontId="38" fillId="9" borderId="0" xfId="26" applyNumberFormat="1" applyFill="1" applyAlignment="1">
      <alignment horizontal="center"/>
    </xf>
    <xf numFmtId="0" fontId="38" fillId="6" borderId="0" xfId="26" applyFill="1" applyAlignment="1">
      <alignment horizontal="center"/>
    </xf>
    <xf numFmtId="0" fontId="38" fillId="7" borderId="0" xfId="26" applyFill="1" applyAlignment="1">
      <alignment horizontal="center"/>
    </xf>
    <xf numFmtId="0" fontId="38" fillId="24" borderId="30" xfId="26" applyFill="1" applyBorder="1" applyAlignment="1">
      <alignment horizontal="center"/>
    </xf>
    <xf numFmtId="0" fontId="38" fillId="7" borderId="33" xfId="26" applyFill="1" applyBorder="1" applyAlignment="1">
      <alignment horizontal="center"/>
    </xf>
    <xf numFmtId="0" fontId="38" fillId="23" borderId="34" xfId="26" applyFill="1" applyBorder="1" applyAlignment="1">
      <alignment horizontal="center"/>
    </xf>
    <xf numFmtId="179" fontId="38" fillId="5" borderId="34" xfId="26" applyNumberFormat="1" applyFill="1" applyBorder="1" applyAlignment="1">
      <alignment horizontal="center"/>
    </xf>
    <xf numFmtId="179" fontId="38" fillId="9" borderId="34" xfId="26" applyNumberFormat="1" applyFill="1" applyBorder="1" applyAlignment="1">
      <alignment horizontal="center"/>
    </xf>
    <xf numFmtId="0" fontId="38" fillId="6" borderId="34" xfId="26" applyFill="1" applyBorder="1" applyAlignment="1">
      <alignment horizontal="center"/>
    </xf>
    <xf numFmtId="0" fontId="38" fillId="7" borderId="34" xfId="26" applyFill="1" applyBorder="1" applyAlignment="1">
      <alignment horizontal="center"/>
    </xf>
    <xf numFmtId="0" fontId="38" fillId="24" borderId="35" xfId="26" applyFill="1" applyBorder="1" applyAlignment="1">
      <alignment horizontal="center"/>
    </xf>
    <xf numFmtId="0" fontId="38" fillId="7" borderId="36" xfId="26" applyFill="1" applyBorder="1" applyAlignment="1">
      <alignment horizontal="center"/>
    </xf>
    <xf numFmtId="0" fontId="38" fillId="23" borderId="37" xfId="26" applyFill="1" applyBorder="1" applyAlignment="1">
      <alignment horizontal="center"/>
    </xf>
    <xf numFmtId="179" fontId="38" fillId="5" borderId="37" xfId="26" applyNumberFormat="1" applyFill="1" applyBorder="1" applyAlignment="1">
      <alignment horizontal="center"/>
    </xf>
    <xf numFmtId="179" fontId="38" fillId="9" borderId="37" xfId="26" applyNumberFormat="1" applyFill="1" applyBorder="1" applyAlignment="1">
      <alignment horizontal="center"/>
    </xf>
    <xf numFmtId="0" fontId="38" fillId="6" borderId="37" xfId="26" applyFill="1" applyBorder="1" applyAlignment="1">
      <alignment horizontal="center"/>
    </xf>
    <xf numFmtId="0" fontId="38" fillId="7" borderId="37" xfId="26" applyFill="1" applyBorder="1" applyAlignment="1">
      <alignment horizontal="center"/>
    </xf>
    <xf numFmtId="0" fontId="38" fillId="25" borderId="38" xfId="26" applyFill="1" applyBorder="1" applyAlignment="1">
      <alignment horizontal="center"/>
    </xf>
    <xf numFmtId="0" fontId="38" fillId="25" borderId="30" xfId="26" applyFill="1" applyBorder="1" applyAlignment="1">
      <alignment horizontal="center"/>
    </xf>
    <xf numFmtId="0" fontId="38" fillId="25" borderId="35" xfId="26" applyFill="1" applyBorder="1" applyAlignment="1">
      <alignment horizontal="center"/>
    </xf>
    <xf numFmtId="179" fontId="38" fillId="23" borderId="37" xfId="26" applyNumberFormat="1" applyFill="1" applyBorder="1" applyAlignment="1">
      <alignment horizontal="center"/>
    </xf>
    <xf numFmtId="0" fontId="38" fillId="3" borderId="38" xfId="26" applyFill="1" applyBorder="1" applyAlignment="1">
      <alignment horizontal="center"/>
    </xf>
    <xf numFmtId="179" fontId="38" fillId="23" borderId="0" xfId="26" applyNumberFormat="1" applyFill="1" applyAlignment="1">
      <alignment horizontal="center"/>
    </xf>
    <xf numFmtId="0" fontId="38" fillId="3" borderId="30" xfId="26" applyFill="1" applyBorder="1" applyAlignment="1">
      <alignment horizontal="center"/>
    </xf>
    <xf numFmtId="179" fontId="38" fillId="23" borderId="34" xfId="26" applyNumberFormat="1" applyFill="1" applyBorder="1" applyAlignment="1">
      <alignment horizontal="center"/>
    </xf>
    <xf numFmtId="0" fontId="38" fillId="3" borderId="35" xfId="26" applyFill="1" applyBorder="1" applyAlignment="1">
      <alignment horizontal="center"/>
    </xf>
    <xf numFmtId="0" fontId="38" fillId="26" borderId="38" xfId="26" applyFill="1" applyBorder="1" applyAlignment="1">
      <alignment horizontal="center"/>
    </xf>
    <xf numFmtId="0" fontId="38" fillId="26" borderId="30" xfId="26" applyFill="1" applyBorder="1" applyAlignment="1">
      <alignment horizontal="center"/>
    </xf>
    <xf numFmtId="0" fontId="38" fillId="26" borderId="35" xfId="26" applyFill="1" applyBorder="1" applyAlignment="1">
      <alignment horizontal="center"/>
    </xf>
    <xf numFmtId="0" fontId="38" fillId="27" borderId="38" xfId="26" applyFill="1" applyBorder="1" applyAlignment="1">
      <alignment horizontal="center"/>
    </xf>
    <xf numFmtId="0" fontId="38" fillId="27" borderId="30" xfId="26" applyFill="1" applyBorder="1" applyAlignment="1">
      <alignment horizontal="center"/>
    </xf>
    <xf numFmtId="0" fontId="38" fillId="11" borderId="38" xfId="26" applyFill="1" applyBorder="1" applyAlignment="1">
      <alignment horizontal="center"/>
    </xf>
    <xf numFmtId="0" fontId="38" fillId="11" borderId="30" xfId="26" applyFill="1" applyBorder="1" applyAlignment="1">
      <alignment horizontal="center"/>
    </xf>
    <xf numFmtId="0" fontId="38" fillId="11" borderId="35" xfId="26" applyFill="1" applyBorder="1" applyAlignment="1">
      <alignment horizontal="center"/>
    </xf>
    <xf numFmtId="0" fontId="38" fillId="5" borderId="37" xfId="26" applyFill="1" applyBorder="1" applyAlignment="1">
      <alignment horizontal="center"/>
    </xf>
    <xf numFmtId="0" fontId="49" fillId="14" borderId="37" xfId="26" applyFont="1" applyFill="1" applyBorder="1" applyAlignment="1">
      <alignment horizontal="center"/>
    </xf>
    <xf numFmtId="179" fontId="38" fillId="6" borderId="37" xfId="26" applyNumberFormat="1" applyFill="1" applyBorder="1" applyAlignment="1">
      <alignment horizontal="center"/>
    </xf>
    <xf numFmtId="0" fontId="38" fillId="28" borderId="38" xfId="26" applyFill="1" applyBorder="1" applyAlignment="1">
      <alignment horizontal="center"/>
    </xf>
    <xf numFmtId="0" fontId="38" fillId="5" borderId="0" xfId="26" applyFill="1" applyAlignment="1">
      <alignment horizontal="center"/>
    </xf>
    <xf numFmtId="0" fontId="49" fillId="14" borderId="0" xfId="26" applyFont="1" applyFill="1" applyAlignment="1">
      <alignment horizontal="center"/>
    </xf>
    <xf numFmtId="179" fontId="38" fillId="6" borderId="0" xfId="26" applyNumberFormat="1" applyFill="1" applyAlignment="1">
      <alignment horizontal="center"/>
    </xf>
    <xf numFmtId="0" fontId="38" fillId="28" borderId="30" xfId="26" applyFill="1" applyBorder="1" applyAlignment="1">
      <alignment horizontal="center"/>
    </xf>
    <xf numFmtId="0" fontId="38" fillId="5" borderId="34" xfId="26" applyFill="1" applyBorder="1" applyAlignment="1">
      <alignment horizontal="center"/>
    </xf>
    <xf numFmtId="0" fontId="49" fillId="14" borderId="34" xfId="26" applyFont="1" applyFill="1" applyBorder="1" applyAlignment="1">
      <alignment horizontal="center"/>
    </xf>
    <xf numFmtId="179" fontId="38" fillId="6" borderId="34" xfId="26" applyNumberFormat="1" applyFill="1" applyBorder="1" applyAlignment="1">
      <alignment horizontal="center"/>
    </xf>
    <xf numFmtId="0" fontId="38" fillId="28" borderId="35" xfId="26" applyFill="1" applyBorder="1" applyAlignment="1">
      <alignment horizontal="center"/>
    </xf>
    <xf numFmtId="0" fontId="38" fillId="29" borderId="38" xfId="26" applyFill="1" applyBorder="1" applyAlignment="1">
      <alignment horizontal="center"/>
    </xf>
    <xf numFmtId="0" fontId="38" fillId="10" borderId="39" xfId="26" applyFill="1" applyBorder="1" applyAlignment="1">
      <alignment horizontal="center"/>
    </xf>
    <xf numFmtId="0" fontId="38" fillId="23" borderId="40" xfId="26" applyFill="1" applyBorder="1" applyAlignment="1">
      <alignment horizontal="center"/>
    </xf>
    <xf numFmtId="0" fontId="38" fillId="4" borderId="40" xfId="26" applyFill="1" applyBorder="1" applyAlignment="1">
      <alignment horizontal="center"/>
    </xf>
    <xf numFmtId="0" fontId="38" fillId="25" borderId="40" xfId="26" applyFill="1" applyBorder="1" applyAlignment="1">
      <alignment horizontal="center"/>
    </xf>
    <xf numFmtId="0" fontId="38" fillId="9" borderId="40" xfId="26" applyFill="1" applyBorder="1" applyAlignment="1">
      <alignment horizontal="center"/>
    </xf>
    <xf numFmtId="0" fontId="38" fillId="6" borderId="40" xfId="26" applyFill="1" applyBorder="1" applyAlignment="1">
      <alignment horizontal="center"/>
    </xf>
    <xf numFmtId="0" fontId="38" fillId="17" borderId="41" xfId="26" applyFill="1" applyBorder="1" applyAlignment="1">
      <alignment horizontal="center"/>
    </xf>
    <xf numFmtId="9" fontId="47" fillId="0" borderId="0" xfId="26" applyNumberFormat="1" applyFont="1" applyAlignment="1">
      <alignment horizontal="right"/>
    </xf>
    <xf numFmtId="0" fontId="47" fillId="0" borderId="0" xfId="26" applyFont="1" applyAlignment="1">
      <alignment horizontal="right"/>
    </xf>
    <xf numFmtId="0" fontId="54" fillId="0" borderId="0" xfId="0" applyFont="1" applyProtection="1">
      <protection hidden="1"/>
    </xf>
    <xf numFmtId="0" fontId="54" fillId="0" borderId="0" xfId="0" applyFont="1" applyAlignment="1" applyProtection="1">
      <alignment wrapText="1"/>
      <protection hidden="1"/>
    </xf>
    <xf numFmtId="0" fontId="0" fillId="0" borderId="0" xfId="0" applyAlignment="1" applyProtection="1">
      <alignment horizontal="center"/>
      <protection hidden="1"/>
    </xf>
    <xf numFmtId="0" fontId="19" fillId="0" borderId="0" xfId="0" applyFont="1" applyAlignment="1" applyProtection="1">
      <alignment wrapText="1"/>
      <protection hidden="1"/>
    </xf>
    <xf numFmtId="0" fontId="11" fillId="0" borderId="0" xfId="0" applyFont="1" applyAlignment="1">
      <alignment vertical="center"/>
    </xf>
    <xf numFmtId="1" fontId="0" fillId="0" borderId="0" xfId="0" applyNumberFormat="1" applyFont="1" applyBorder="1"/>
    <xf numFmtId="1" fontId="0" fillId="0" borderId="0" xfId="0" applyNumberFormat="1" applyFont="1"/>
    <xf numFmtId="176" fontId="52" fillId="0" borderId="0" xfId="29" applyFont="1" applyAlignment="1">
      <alignment horizontal="center"/>
    </xf>
    <xf numFmtId="0" fontId="39" fillId="26" borderId="26" xfId="30" applyFont="1" applyFill="1" applyBorder="1" applyAlignment="1">
      <alignment horizontal="center"/>
    </xf>
    <xf numFmtId="171" fontId="39" fillId="26" borderId="0" xfId="30" applyNumberFormat="1" applyFont="1" applyFill="1" applyAlignment="1">
      <alignment horizontal="right" indent="1"/>
    </xf>
    <xf numFmtId="0" fontId="39" fillId="0" borderId="0" xfId="30" applyFont="1" applyAlignment="1">
      <alignment horizontal="right" indent="1"/>
    </xf>
    <xf numFmtId="9" fontId="40" fillId="0" borderId="26" xfId="30" applyNumberFormat="1" applyFont="1" applyBorder="1" applyAlignment="1">
      <alignment horizontal="center"/>
    </xf>
    <xf numFmtId="0" fontId="39" fillId="0" borderId="26" xfId="30" applyFont="1" applyBorder="1" applyAlignment="1">
      <alignment horizontal="center"/>
    </xf>
    <xf numFmtId="0" fontId="40" fillId="26" borderId="0" xfId="30" applyFont="1" applyFill="1" applyAlignment="1">
      <alignment horizontal="right"/>
    </xf>
    <xf numFmtId="0" fontId="40" fillId="26" borderId="0" xfId="30" applyNumberFormat="1" applyFont="1" applyFill="1" applyAlignment="1">
      <alignment horizontal="right"/>
    </xf>
    <xf numFmtId="14" fontId="40" fillId="26" borderId="0" xfId="30" applyNumberFormat="1" applyFont="1" applyFill="1" applyAlignment="1">
      <alignment horizontal="right"/>
    </xf>
    <xf numFmtId="9" fontId="38" fillId="0" borderId="0" xfId="26" applyNumberFormat="1" applyAlignment="1">
      <alignment horizontal="center"/>
    </xf>
    <xf numFmtId="4" fontId="38" fillId="0" borderId="0" xfId="26" applyNumberFormat="1" applyAlignment="1">
      <alignment horizontal="center"/>
    </xf>
    <xf numFmtId="175" fontId="2" fillId="0" borderId="1" xfId="28" applyNumberFormat="1" applyFont="1" applyBorder="1" applyAlignment="1">
      <alignment horizontal="center" vertical="center" wrapText="1"/>
    </xf>
    <xf numFmtId="0" fontId="2" fillId="14" borderId="1" xfId="28" applyFont="1" applyFill="1" applyBorder="1" applyAlignment="1">
      <alignment horizontal="center" vertical="center" wrapText="1"/>
    </xf>
    <xf numFmtId="0" fontId="2" fillId="9" borderId="1" xfId="28" applyFont="1" applyFill="1" applyBorder="1" applyAlignment="1">
      <alignment horizontal="center" vertical="center" wrapText="1"/>
    </xf>
    <xf numFmtId="0" fontId="11" fillId="0" borderId="0" xfId="0" applyFont="1" applyAlignment="1" applyProtection="1">
      <alignment horizontal="center"/>
      <protection hidden="1"/>
    </xf>
    <xf numFmtId="164" fontId="39" fillId="0" borderId="0" xfId="26" applyNumberFormat="1" applyFont="1" applyAlignment="1">
      <alignment horizontal="center"/>
    </xf>
    <xf numFmtId="165" fontId="39" fillId="0" borderId="0" xfId="26" applyNumberFormat="1" applyFont="1" applyAlignment="1">
      <alignment horizontal="center"/>
    </xf>
    <xf numFmtId="9" fontId="39" fillId="0" borderId="0" xfId="26" applyNumberFormat="1" applyFont="1" applyBorder="1" applyAlignment="1">
      <alignment horizontal="center"/>
    </xf>
    <xf numFmtId="173" fontId="40" fillId="2" borderId="0" xfId="26" applyNumberFormat="1" applyFont="1" applyFill="1" applyAlignment="1">
      <alignment horizontal="center" vertical="center"/>
    </xf>
    <xf numFmtId="0" fontId="46" fillId="0" borderId="0" xfId="26" applyFont="1" applyAlignment="1">
      <alignment horizontal="left"/>
    </xf>
    <xf numFmtId="0" fontId="19" fillId="0" borderId="0" xfId="0" applyFont="1" applyBorder="1" applyAlignment="1">
      <alignment vertical="center"/>
    </xf>
    <xf numFmtId="169" fontId="44" fillId="26" borderId="0" xfId="27" applyNumberFormat="1" applyFont="1" applyFill="1" applyAlignment="1">
      <alignment horizontal="right" indent="1"/>
    </xf>
    <xf numFmtId="0" fontId="9" fillId="0" borderId="0" xfId="1"/>
    <xf numFmtId="0" fontId="9" fillId="0" borderId="0" xfId="1" applyFill="1"/>
    <xf numFmtId="4" fontId="9" fillId="0" borderId="0" xfId="1" applyNumberFormat="1"/>
    <xf numFmtId="4" fontId="9" fillId="0" borderId="0" xfId="1" applyNumberFormat="1" applyBorder="1"/>
    <xf numFmtId="0" fontId="8" fillId="0" borderId="0" xfId="1" applyFont="1" applyBorder="1"/>
    <xf numFmtId="0" fontId="8" fillId="0" borderId="1" xfId="1" applyFont="1" applyBorder="1"/>
    <xf numFmtId="4" fontId="9" fillId="0" borderId="0" xfId="1" applyNumberFormat="1" applyFill="1" applyBorder="1"/>
    <xf numFmtId="4" fontId="9" fillId="0" borderId="0" xfId="1" applyNumberFormat="1" applyFill="1"/>
    <xf numFmtId="0" fontId="9" fillId="0" borderId="0" xfId="1" applyFill="1" applyBorder="1"/>
    <xf numFmtId="0" fontId="58" fillId="0" borderId="0" xfId="1" applyFont="1"/>
    <xf numFmtId="0" fontId="9" fillId="0" borderId="1" xfId="1" applyBorder="1"/>
    <xf numFmtId="0" fontId="8" fillId="17" borderId="1" xfId="1" applyFont="1" applyFill="1" applyBorder="1"/>
    <xf numFmtId="0" fontId="57" fillId="0" borderId="0" xfId="1" applyFont="1"/>
    <xf numFmtId="0" fontId="7" fillId="0" borderId="43" xfId="1" applyFont="1" applyBorder="1" applyAlignment="1">
      <alignment horizontal="center" vertical="center" wrapText="1"/>
    </xf>
    <xf numFmtId="0" fontId="8" fillId="0" borderId="44" xfId="1" applyFont="1" applyBorder="1" applyAlignment="1">
      <alignment horizontal="justify" vertical="center" wrapText="1"/>
    </xf>
    <xf numFmtId="0" fontId="8" fillId="30" borderId="45" xfId="1" applyFont="1" applyFill="1" applyBorder="1" applyAlignment="1">
      <alignment horizontal="center" vertical="center" wrapText="1"/>
    </xf>
    <xf numFmtId="0" fontId="59" fillId="0" borderId="0" xfId="1" applyFont="1" applyFill="1" applyBorder="1" applyAlignment="1">
      <alignment horizontal="justify" vertical="center" wrapText="1"/>
    </xf>
    <xf numFmtId="0" fontId="8" fillId="30" borderId="46" xfId="1" applyFont="1" applyFill="1" applyBorder="1" applyAlignment="1">
      <alignment horizontal="center" vertical="center" wrapText="1"/>
    </xf>
    <xf numFmtId="0" fontId="7" fillId="0" borderId="0" xfId="1" applyFont="1"/>
    <xf numFmtId="0" fontId="7" fillId="0" borderId="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justify" vertical="center" wrapText="1"/>
    </xf>
    <xf numFmtId="0" fontId="59" fillId="0" borderId="0" xfId="1" applyFont="1"/>
    <xf numFmtId="0" fontId="9" fillId="31" borderId="1" xfId="1" applyFill="1" applyBorder="1"/>
    <xf numFmtId="4" fontId="9" fillId="31" borderId="1" xfId="1" applyNumberFormat="1" applyFill="1" applyBorder="1"/>
    <xf numFmtId="0" fontId="7" fillId="32" borderId="1" xfId="1" applyFont="1" applyFill="1" applyBorder="1" applyAlignment="1">
      <alignment horizontal="right"/>
    </xf>
    <xf numFmtId="49" fontId="1" fillId="0" borderId="1" xfId="0" applyNumberFormat="1" applyFont="1" applyFill="1" applyBorder="1" applyAlignment="1" applyProtection="1">
      <alignment horizontal="right" vertical="center"/>
      <protection locked="0"/>
    </xf>
    <xf numFmtId="0" fontId="11" fillId="0" borderId="0" xfId="0" applyFont="1" applyAlignment="1">
      <alignment horizontal="left" vertical="center"/>
    </xf>
    <xf numFmtId="0" fontId="37" fillId="0" borderId="0" xfId="0" applyFont="1" applyBorder="1" applyAlignment="1">
      <alignment vertical="center"/>
    </xf>
    <xf numFmtId="0" fontId="63" fillId="0" borderId="0" xfId="1" applyFont="1"/>
    <xf numFmtId="164" fontId="46" fillId="12" borderId="0" xfId="27" applyNumberFormat="1" applyFont="1" applyFill="1" applyAlignment="1">
      <alignment horizontal="center"/>
    </xf>
    <xf numFmtId="0" fontId="64" fillId="0" borderId="0" xfId="26" applyFont="1" applyAlignment="1">
      <alignment horizontal="center"/>
    </xf>
    <xf numFmtId="4" fontId="64" fillId="22" borderId="0" xfId="26" applyNumberFormat="1" applyFont="1" applyFill="1" applyAlignment="1">
      <alignment horizontal="center"/>
    </xf>
    <xf numFmtId="0" fontId="23" fillId="0" borderId="0" xfId="0" applyFont="1" applyAlignment="1">
      <alignment horizontal="left" vertical="center"/>
    </xf>
    <xf numFmtId="0" fontId="18" fillId="0" borderId="0" xfId="0" applyFont="1" applyBorder="1" applyAlignment="1">
      <alignment vertical="center"/>
    </xf>
    <xf numFmtId="4" fontId="65" fillId="0" borderId="17" xfId="0" applyNumberFormat="1" applyFont="1" applyFill="1" applyBorder="1" applyAlignment="1">
      <alignment horizontal="center" vertical="center"/>
    </xf>
    <xf numFmtId="0" fontId="65" fillId="0" borderId="15" xfId="0" applyFont="1" applyBorder="1" applyAlignment="1">
      <alignment horizontal="center" vertical="center" wrapText="1"/>
    </xf>
    <xf numFmtId="14" fontId="65" fillId="0" borderId="15" xfId="0" applyNumberFormat="1" applyFont="1" applyFill="1" applyBorder="1" applyAlignment="1">
      <alignment horizontal="center" vertical="center"/>
    </xf>
    <xf numFmtId="14" fontId="65" fillId="0" borderId="17" xfId="0" applyNumberFormat="1" applyFont="1" applyFill="1" applyBorder="1" applyAlignment="1">
      <alignment horizontal="center" vertical="center"/>
    </xf>
    <xf numFmtId="14" fontId="65" fillId="0" borderId="20" xfId="0" applyNumberFormat="1" applyFont="1" applyFill="1" applyBorder="1" applyAlignment="1">
      <alignment horizontal="center" vertical="center"/>
    </xf>
    <xf numFmtId="14" fontId="65" fillId="0" borderId="16" xfId="0" applyNumberFormat="1" applyFont="1" applyFill="1" applyBorder="1" applyAlignment="1">
      <alignment horizontal="center" vertical="center"/>
    </xf>
    <xf numFmtId="4" fontId="65" fillId="0" borderId="13" xfId="0" applyNumberFormat="1" applyFont="1" applyFill="1" applyBorder="1" applyAlignment="1">
      <alignment horizontal="center" vertical="center"/>
    </xf>
    <xf numFmtId="0" fontId="65" fillId="0" borderId="13" xfId="0" applyFont="1" applyBorder="1" applyAlignment="1">
      <alignment horizontal="center" vertical="center" wrapText="1"/>
    </xf>
    <xf numFmtId="14" fontId="65" fillId="0" borderId="13" xfId="0" applyNumberFormat="1" applyFont="1" applyFill="1" applyBorder="1" applyAlignment="1">
      <alignment horizontal="center" vertical="center"/>
    </xf>
    <xf numFmtId="0" fontId="65" fillId="0" borderId="19" xfId="0" applyFont="1" applyBorder="1" applyAlignment="1">
      <alignment horizontal="center" vertical="center" wrapText="1"/>
    </xf>
    <xf numFmtId="14" fontId="65" fillId="0" borderId="19" xfId="0" applyNumberFormat="1" applyFont="1" applyFill="1" applyBorder="1" applyAlignment="1">
      <alignment horizontal="center" vertical="center"/>
    </xf>
    <xf numFmtId="4" fontId="65" fillId="0" borderId="13" xfId="0" applyNumberFormat="1" applyFont="1" applyFill="1" applyBorder="1" applyAlignment="1">
      <alignment horizontal="center" vertical="center" wrapText="1"/>
    </xf>
    <xf numFmtId="0" fontId="36" fillId="33" borderId="0" xfId="0" applyFont="1" applyFill="1" applyBorder="1" applyAlignment="1"/>
    <xf numFmtId="0" fontId="36" fillId="33" borderId="0" xfId="0" applyFont="1" applyFill="1" applyBorder="1"/>
    <xf numFmtId="0" fontId="29" fillId="33" borderId="0" xfId="0" applyFont="1" applyFill="1" applyBorder="1"/>
    <xf numFmtId="0" fontId="55" fillId="33" borderId="0" xfId="0" applyFont="1" applyFill="1" applyBorder="1"/>
    <xf numFmtId="0" fontId="28" fillId="33" borderId="0" xfId="0" applyFont="1" applyFill="1" applyBorder="1"/>
    <xf numFmtId="0" fontId="56" fillId="33" borderId="0" xfId="0" applyFont="1" applyFill="1" applyBorder="1"/>
    <xf numFmtId="0" fontId="27" fillId="33" borderId="1" xfId="1" applyFont="1" applyFill="1" applyBorder="1" applyAlignment="1">
      <alignment horizontal="left" vertical="center" wrapText="1"/>
    </xf>
    <xf numFmtId="0" fontId="27" fillId="33" borderId="1" xfId="1" applyFont="1" applyFill="1" applyBorder="1" applyAlignment="1">
      <alignment vertical="center"/>
    </xf>
    <xf numFmtId="0" fontId="28" fillId="0" borderId="1" xfId="1" applyFont="1" applyFill="1" applyBorder="1" applyAlignment="1" applyProtection="1">
      <alignment horizontal="right" vertical="center"/>
      <protection locked="0"/>
    </xf>
    <xf numFmtId="4" fontId="28" fillId="0" borderId="1" xfId="1" applyNumberFormat="1" applyFont="1" applyBorder="1" applyAlignment="1" applyProtection="1">
      <alignment vertical="center"/>
      <protection locked="0"/>
    </xf>
    <xf numFmtId="0" fontId="27" fillId="33" borderId="1" xfId="1" applyFont="1" applyFill="1" applyBorder="1" applyAlignment="1">
      <alignment vertical="center" wrapText="1"/>
    </xf>
    <xf numFmtId="4" fontId="55" fillId="33" borderId="1" xfId="1" applyNumberFormat="1" applyFont="1" applyFill="1" applyBorder="1" applyAlignment="1" applyProtection="1">
      <alignment vertical="center"/>
    </xf>
    <xf numFmtId="0" fontId="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horizontal="right" vertical="center"/>
    </xf>
    <xf numFmtId="0" fontId="29" fillId="33" borderId="1" xfId="1" applyFont="1" applyFill="1" applyBorder="1" applyAlignment="1">
      <alignment vertical="center"/>
    </xf>
    <xf numFmtId="4" fontId="29" fillId="33" borderId="1" xfId="1" applyNumberFormat="1" applyFont="1" applyFill="1" applyBorder="1" applyAlignment="1">
      <alignment horizontal="center" vertical="center"/>
    </xf>
    <xf numFmtId="0" fontId="28" fillId="0" borderId="0" xfId="0" applyFont="1" applyProtection="1">
      <protection hidden="1"/>
    </xf>
    <xf numFmtId="0" fontId="36" fillId="0" borderId="0" xfId="0" applyFont="1" applyAlignment="1" applyProtection="1">
      <alignment horizontal="left" vertical="center"/>
      <protection hidden="1"/>
    </xf>
    <xf numFmtId="0" fontId="36" fillId="0" borderId="0" xfId="0" applyFont="1" applyFill="1" applyBorder="1" applyAlignment="1" applyProtection="1">
      <alignment vertical="center"/>
      <protection hidden="1"/>
    </xf>
    <xf numFmtId="0" fontId="28" fillId="0" borderId="0" xfId="0" applyFont="1" applyFill="1" applyBorder="1" applyProtection="1">
      <protection hidden="1"/>
    </xf>
    <xf numFmtId="1" fontId="69" fillId="8" borderId="12" xfId="0" applyNumberFormat="1" applyFont="1" applyFill="1" applyBorder="1" applyAlignment="1" applyProtection="1">
      <alignment horizontal="left" vertical="center"/>
      <protection hidden="1"/>
    </xf>
    <xf numFmtId="0" fontId="36" fillId="0" borderId="0" xfId="0" applyFont="1" applyFill="1" applyBorder="1" applyAlignment="1" applyProtection="1">
      <alignment horizontal="left" vertical="center"/>
      <protection hidden="1"/>
    </xf>
    <xf numFmtId="0" fontId="28" fillId="15" borderId="8" xfId="0" applyFont="1" applyFill="1" applyBorder="1" applyProtection="1">
      <protection hidden="1"/>
    </xf>
    <xf numFmtId="0" fontId="36" fillId="15" borderId="8" xfId="0" applyFont="1" applyFill="1" applyBorder="1" applyAlignment="1" applyProtection="1">
      <alignment horizontal="left" vertical="center"/>
      <protection locked="0" hidden="1"/>
    </xf>
    <xf numFmtId="0" fontId="28" fillId="15" borderId="9" xfId="0" applyFont="1" applyFill="1" applyBorder="1" applyProtection="1">
      <protection hidden="1"/>
    </xf>
    <xf numFmtId="14" fontId="36" fillId="15" borderId="9" xfId="0" applyNumberFormat="1" applyFont="1" applyFill="1" applyBorder="1" applyAlignment="1" applyProtection="1">
      <alignment horizontal="left" vertical="center"/>
      <protection locked="0" hidden="1"/>
    </xf>
    <xf numFmtId="0" fontId="28" fillId="15" borderId="10" xfId="0" applyFont="1" applyFill="1" applyBorder="1" applyProtection="1">
      <protection hidden="1"/>
    </xf>
    <xf numFmtId="0" fontId="69" fillId="15" borderId="10" xfId="0" applyFont="1" applyFill="1" applyBorder="1" applyAlignment="1" applyProtection="1">
      <alignment horizontal="left" vertical="center"/>
      <protection hidden="1"/>
    </xf>
    <xf numFmtId="0" fontId="70" fillId="0" borderId="0" xfId="0" applyFont="1" applyProtection="1">
      <protection hidden="1"/>
    </xf>
    <xf numFmtId="0" fontId="28" fillId="0" borderId="0" xfId="0" applyFont="1" applyBorder="1" applyAlignment="1" applyProtection="1">
      <protection hidden="1"/>
    </xf>
    <xf numFmtId="0" fontId="28" fillId="17" borderId="8" xfId="0" applyFont="1" applyFill="1" applyBorder="1" applyProtection="1">
      <protection hidden="1"/>
    </xf>
    <xf numFmtId="0" fontId="28" fillId="17" borderId="10" xfId="0" applyFont="1" applyFill="1" applyBorder="1" applyProtection="1">
      <protection hidden="1"/>
    </xf>
    <xf numFmtId="0" fontId="36" fillId="0" borderId="47" xfId="0" applyFont="1" applyFill="1" applyBorder="1" applyAlignment="1" applyProtection="1">
      <alignment vertical="center"/>
      <protection hidden="1"/>
    </xf>
    <xf numFmtId="0" fontId="72" fillId="0" borderId="0" xfId="1" applyFont="1"/>
    <xf numFmtId="0" fontId="28" fillId="0" borderId="8" xfId="0" applyFont="1" applyFill="1" applyBorder="1" applyProtection="1">
      <protection hidden="1"/>
    </xf>
    <xf numFmtId="14" fontId="69" fillId="0" borderId="0" xfId="0" applyNumberFormat="1" applyFont="1" applyFill="1" applyBorder="1" applyAlignment="1" applyProtection="1">
      <alignment horizontal="left" vertical="center"/>
      <protection hidden="1"/>
    </xf>
    <xf numFmtId="0" fontId="0" fillId="0" borderId="0" xfId="0" applyFill="1" applyProtection="1">
      <protection hidden="1"/>
    </xf>
    <xf numFmtId="0" fontId="28" fillId="0" borderId="47" xfId="0" applyFont="1" applyFill="1" applyBorder="1" applyProtection="1">
      <protection hidden="1"/>
    </xf>
    <xf numFmtId="0" fontId="69" fillId="0" borderId="0" xfId="0" applyFont="1" applyFill="1" applyBorder="1" applyAlignment="1" applyProtection="1">
      <alignment horizontal="left" vertical="center"/>
      <protection hidden="1"/>
    </xf>
    <xf numFmtId="0" fontId="73" fillId="18" borderId="42" xfId="0" applyFont="1" applyFill="1" applyBorder="1" applyAlignment="1" applyProtection="1">
      <alignment horizontal="left" vertical="center"/>
      <protection locked="0"/>
    </xf>
    <xf numFmtId="170" fontId="73" fillId="18" borderId="42" xfId="0" applyNumberFormat="1" applyFont="1" applyFill="1" applyBorder="1" applyAlignment="1" applyProtection="1">
      <alignment horizontal="left" vertical="center"/>
      <protection locked="0"/>
    </xf>
    <xf numFmtId="0" fontId="73" fillId="18" borderId="11" xfId="0" applyFont="1" applyFill="1" applyBorder="1" applyAlignment="1" applyProtection="1">
      <alignment horizontal="left" vertical="center"/>
      <protection locked="0"/>
    </xf>
    <xf numFmtId="0" fontId="73" fillId="18" borderId="12" xfId="0" applyFont="1" applyFill="1" applyBorder="1" applyAlignment="1" applyProtection="1">
      <alignment horizontal="left" vertical="center"/>
      <protection locked="0"/>
    </xf>
    <xf numFmtId="14" fontId="73" fillId="18" borderId="49" xfId="0" applyNumberFormat="1" applyFont="1" applyFill="1" applyBorder="1" applyAlignment="1" applyProtection="1">
      <alignment horizontal="left" vertical="center"/>
      <protection locked="0"/>
    </xf>
    <xf numFmtId="0" fontId="73" fillId="18" borderId="0" xfId="0" applyFont="1" applyFill="1" applyBorder="1" applyAlignment="1" applyProtection="1">
      <alignment vertical="center"/>
      <protection locked="0"/>
    </xf>
    <xf numFmtId="0" fontId="74" fillId="0" borderId="0" xfId="0" applyFont="1" applyFill="1" applyAlignment="1" applyProtection="1">
      <alignment vertical="center"/>
      <protection hidden="1"/>
    </xf>
    <xf numFmtId="0" fontId="74" fillId="0" borderId="0" xfId="0" applyFont="1" applyFill="1" applyAlignment="1" applyProtection="1">
      <alignment horizontal="center" vertical="center"/>
      <protection hidden="1"/>
    </xf>
    <xf numFmtId="0" fontId="74" fillId="0" borderId="0" xfId="0" applyFont="1" applyFill="1" applyBorder="1" applyAlignment="1" applyProtection="1">
      <alignment vertical="center"/>
      <protection hidden="1"/>
    </xf>
    <xf numFmtId="0" fontId="28" fillId="17" borderId="48" xfId="0" applyFont="1" applyFill="1" applyBorder="1" applyProtection="1">
      <protection hidden="1"/>
    </xf>
    <xf numFmtId="0" fontId="28" fillId="17" borderId="0" xfId="0" applyFont="1" applyFill="1" applyBorder="1" applyProtection="1">
      <protection hidden="1"/>
    </xf>
    <xf numFmtId="0" fontId="28" fillId="17" borderId="47" xfId="0" applyFont="1" applyFill="1" applyBorder="1" applyProtection="1">
      <protection hidden="1"/>
    </xf>
    <xf numFmtId="0" fontId="28" fillId="17" borderId="9" xfId="0" applyFont="1" applyFill="1" applyBorder="1" applyProtection="1">
      <protection hidden="1"/>
    </xf>
    <xf numFmtId="1" fontId="69" fillId="17" borderId="11" xfId="0" applyNumberFormat="1" applyFont="1" applyFill="1" applyBorder="1" applyAlignment="1" applyProtection="1">
      <alignment horizontal="left" vertical="center"/>
      <protection hidden="1"/>
    </xf>
    <xf numFmtId="0" fontId="28" fillId="17" borderId="0" xfId="0" applyFont="1" applyFill="1" applyProtection="1">
      <protection hidden="1"/>
    </xf>
    <xf numFmtId="0" fontId="32" fillId="17" borderId="0" xfId="0" applyFont="1" applyFill="1" applyBorder="1" applyAlignment="1">
      <alignment vertical="center"/>
    </xf>
    <xf numFmtId="14" fontId="32" fillId="17" borderId="8" xfId="0" applyNumberFormat="1" applyFont="1" applyFill="1" applyBorder="1" applyAlignment="1">
      <alignment horizontal="right" vertical="center"/>
    </xf>
    <xf numFmtId="0" fontId="32" fillId="17" borderId="9" xfId="0" applyFont="1" applyFill="1" applyBorder="1" applyAlignment="1">
      <alignment horizontal="right" vertical="center"/>
    </xf>
    <xf numFmtId="0" fontId="32" fillId="17" borderId="8" xfId="0" applyFont="1" applyFill="1" applyBorder="1" applyAlignment="1">
      <alignment vertical="center"/>
    </xf>
    <xf numFmtId="0" fontId="32" fillId="17" borderId="8" xfId="0" applyFont="1" applyFill="1" applyBorder="1" applyAlignment="1">
      <alignment horizontal="right" vertical="center"/>
    </xf>
    <xf numFmtId="0" fontId="32" fillId="17" borderId="9" xfId="0" applyFont="1" applyFill="1" applyBorder="1" applyAlignment="1">
      <alignment vertical="center"/>
    </xf>
    <xf numFmtId="0" fontId="66" fillId="17" borderId="20" xfId="0" applyFont="1" applyFill="1" applyBorder="1" applyAlignment="1">
      <alignment horizontal="center" vertical="center"/>
    </xf>
    <xf numFmtId="0" fontId="66" fillId="17" borderId="16" xfId="0" applyFont="1" applyFill="1" applyBorder="1" applyAlignment="1">
      <alignment horizontal="center" vertical="center"/>
    </xf>
    <xf numFmtId="0" fontId="66" fillId="17" borderId="13" xfId="0" applyFont="1" applyFill="1" applyBorder="1" applyAlignment="1">
      <alignment horizontal="center" vertical="center"/>
    </xf>
    <xf numFmtId="0" fontId="67" fillId="17" borderId="55" xfId="0" applyFont="1" applyFill="1" applyBorder="1" applyAlignment="1">
      <alignment vertical="center"/>
    </xf>
    <xf numFmtId="4" fontId="67" fillId="17" borderId="55" xfId="0" applyNumberFormat="1" applyFont="1" applyFill="1" applyBorder="1" applyAlignment="1">
      <alignment vertical="center" wrapText="1"/>
    </xf>
    <xf numFmtId="0" fontId="32" fillId="17" borderId="57" xfId="0" applyFont="1" applyFill="1" applyBorder="1" applyAlignment="1">
      <alignment vertical="center"/>
    </xf>
    <xf numFmtId="0" fontId="32" fillId="17" borderId="58" xfId="0" applyFont="1" applyFill="1" applyBorder="1" applyAlignment="1">
      <alignment vertical="center"/>
    </xf>
    <xf numFmtId="0" fontId="32" fillId="17" borderId="55" xfId="0" applyFont="1" applyFill="1" applyBorder="1" applyAlignment="1">
      <alignment horizontal="right" vertical="center"/>
    </xf>
    <xf numFmtId="0" fontId="32" fillId="17" borderId="55" xfId="0" applyFont="1" applyFill="1" applyBorder="1" applyAlignment="1">
      <alignment vertical="center"/>
    </xf>
    <xf numFmtId="0" fontId="32" fillId="17" borderId="56" xfId="0" applyFont="1" applyFill="1" applyBorder="1" applyAlignment="1">
      <alignment vertical="center"/>
    </xf>
    <xf numFmtId="173" fontId="46" fillId="21" borderId="0" xfId="27" applyNumberFormat="1" applyFont="1" applyFill="1" applyAlignment="1">
      <alignment horizontal="right"/>
    </xf>
    <xf numFmtId="0" fontId="28" fillId="17" borderId="61" xfId="0" applyFont="1" applyFill="1" applyBorder="1" applyProtection="1">
      <protection hidden="1"/>
    </xf>
    <xf numFmtId="0" fontId="18" fillId="0" borderId="0" xfId="31" applyFont="1" applyAlignment="1">
      <alignment vertical="center"/>
    </xf>
    <xf numFmtId="0" fontId="18" fillId="2" borderId="62" xfId="31" applyFont="1" applyFill="1" applyBorder="1" applyAlignment="1">
      <alignment vertical="center"/>
    </xf>
    <xf numFmtId="0" fontId="18" fillId="2" borderId="63" xfId="31" applyFont="1" applyFill="1" applyBorder="1" applyAlignment="1">
      <alignment vertical="center"/>
    </xf>
    <xf numFmtId="0" fontId="18" fillId="2" borderId="64" xfId="31" applyFont="1" applyFill="1" applyBorder="1" applyAlignment="1">
      <alignment vertical="center"/>
    </xf>
    <xf numFmtId="0" fontId="18" fillId="35" borderId="2" xfId="31" applyFont="1" applyFill="1" applyBorder="1" applyAlignment="1">
      <alignment vertical="center"/>
    </xf>
    <xf numFmtId="0" fontId="18" fillId="35" borderId="7" xfId="31" applyFont="1" applyFill="1" applyBorder="1" applyAlignment="1">
      <alignment vertical="center"/>
    </xf>
    <xf numFmtId="0" fontId="79" fillId="8" borderId="7" xfId="31" applyFont="1" applyFill="1" applyBorder="1" applyAlignment="1">
      <alignment vertical="center" wrapText="1"/>
    </xf>
    <xf numFmtId="0" fontId="79" fillId="8" borderId="6" xfId="31" applyFont="1" applyFill="1" applyBorder="1" applyAlignment="1">
      <alignment vertical="center" wrapText="1"/>
    </xf>
    <xf numFmtId="0" fontId="18" fillId="0" borderId="6" xfId="31" applyFont="1" applyBorder="1" applyAlignment="1">
      <alignment vertical="center"/>
    </xf>
    <xf numFmtId="0" fontId="79" fillId="0" borderId="6" xfId="31" applyFont="1" applyFill="1" applyBorder="1" applyAlignment="1">
      <alignment vertical="center" wrapText="1"/>
    </xf>
    <xf numFmtId="0" fontId="18" fillId="8" borderId="44" xfId="31" applyFont="1" applyFill="1" applyBorder="1" applyAlignment="1">
      <alignment vertical="center"/>
    </xf>
    <xf numFmtId="0" fontId="18" fillId="8" borderId="72" xfId="31" applyFont="1" applyFill="1" applyBorder="1" applyAlignment="1">
      <alignment vertical="center"/>
    </xf>
    <xf numFmtId="0" fontId="79" fillId="8" borderId="73" xfId="31" applyFont="1" applyFill="1" applyBorder="1" applyAlignment="1">
      <alignment vertical="center" wrapText="1"/>
    </xf>
    <xf numFmtId="0" fontId="79" fillId="8" borderId="75" xfId="31" applyFont="1" applyFill="1" applyBorder="1" applyAlignment="1">
      <alignment vertical="center" wrapText="1"/>
    </xf>
    <xf numFmtId="0" fontId="18" fillId="0" borderId="0" xfId="31" applyFont="1" applyFill="1" applyAlignment="1">
      <alignment vertical="center"/>
    </xf>
    <xf numFmtId="0" fontId="79" fillId="0" borderId="77" xfId="31" applyFont="1" applyFill="1" applyBorder="1" applyAlignment="1">
      <alignment vertical="center" wrapText="1"/>
    </xf>
    <xf numFmtId="0" fontId="79" fillId="0" borderId="78" xfId="31" applyFont="1" applyFill="1" applyBorder="1" applyAlignment="1">
      <alignment vertical="center"/>
    </xf>
    <xf numFmtId="0" fontId="79" fillId="8" borderId="6" xfId="31" applyFont="1" applyFill="1" applyBorder="1" applyAlignment="1">
      <alignment vertical="center"/>
    </xf>
    <xf numFmtId="0" fontId="18" fillId="35" borderId="73" xfId="31" applyFont="1" applyFill="1" applyBorder="1" applyAlignment="1">
      <alignment vertical="center"/>
    </xf>
    <xf numFmtId="0" fontId="79" fillId="0" borderId="73" xfId="31" applyFont="1" applyFill="1" applyBorder="1" applyAlignment="1">
      <alignment vertical="center" wrapText="1"/>
    </xf>
    <xf numFmtId="0" fontId="18" fillId="35" borderId="43" xfId="31" applyFont="1" applyFill="1" applyBorder="1" applyAlignment="1">
      <alignment vertical="center"/>
    </xf>
    <xf numFmtId="0" fontId="79" fillId="35" borderId="73" xfId="31" applyFont="1" applyFill="1" applyBorder="1" applyAlignment="1">
      <alignment vertical="center" wrapText="1"/>
    </xf>
    <xf numFmtId="0" fontId="79" fillId="2" borderId="73" xfId="31" applyFont="1" applyFill="1" applyBorder="1" applyAlignment="1">
      <alignment vertical="center" wrapText="1"/>
    </xf>
    <xf numFmtId="0" fontId="18" fillId="35" borderId="27" xfId="31" applyFont="1" applyFill="1" applyBorder="1" applyAlignment="1">
      <alignment vertical="center"/>
    </xf>
    <xf numFmtId="0" fontId="18" fillId="35" borderId="26" xfId="31" applyFont="1" applyFill="1" applyBorder="1" applyAlignment="1">
      <alignment vertical="center"/>
    </xf>
    <xf numFmtId="0" fontId="79" fillId="8" borderId="26" xfId="31" applyFont="1" applyFill="1" applyBorder="1" applyAlignment="1">
      <alignment vertical="center"/>
    </xf>
    <xf numFmtId="0" fontId="79" fillId="8" borderId="31" xfId="31" applyFont="1" applyFill="1" applyBorder="1" applyAlignment="1">
      <alignment vertical="center"/>
    </xf>
    <xf numFmtId="0" fontId="18" fillId="8" borderId="7" xfId="31" applyFont="1" applyFill="1" applyBorder="1" applyAlignment="1">
      <alignment vertical="center"/>
    </xf>
    <xf numFmtId="0" fontId="79" fillId="8" borderId="7" xfId="31" applyFont="1" applyFill="1" applyBorder="1" applyAlignment="1">
      <alignment vertical="center"/>
    </xf>
    <xf numFmtId="0" fontId="80" fillId="0" borderId="80" xfId="31" applyFont="1" applyBorder="1" applyAlignment="1">
      <alignment vertical="center"/>
    </xf>
    <xf numFmtId="0" fontId="80" fillId="0" borderId="81" xfId="31" applyFont="1" applyBorder="1" applyAlignment="1">
      <alignment vertical="center"/>
    </xf>
    <xf numFmtId="0" fontId="80" fillId="0" borderId="81" xfId="31" applyFont="1" applyFill="1" applyBorder="1" applyAlignment="1">
      <alignment vertical="center"/>
    </xf>
    <xf numFmtId="0" fontId="18" fillId="35" borderId="6" xfId="31" applyFont="1" applyFill="1" applyBorder="1" applyAlignment="1">
      <alignment vertical="center"/>
    </xf>
    <xf numFmtId="0" fontId="79" fillId="8" borderId="75" xfId="31" applyFont="1" applyFill="1" applyBorder="1" applyAlignment="1">
      <alignment vertical="center"/>
    </xf>
    <xf numFmtId="0" fontId="18" fillId="35" borderId="65" xfId="31" applyFont="1" applyFill="1" applyBorder="1" applyAlignment="1">
      <alignment vertical="center"/>
    </xf>
    <xf numFmtId="0" fontId="18" fillId="35" borderId="68" xfId="31" applyFont="1" applyFill="1" applyBorder="1" applyAlignment="1">
      <alignment vertical="center"/>
    </xf>
    <xf numFmtId="0" fontId="79" fillId="8" borderId="63" xfId="31" applyFont="1" applyFill="1" applyBorder="1" applyAlignment="1">
      <alignment vertical="center"/>
    </xf>
    <xf numFmtId="0" fontId="79" fillId="8" borderId="65" xfId="31" applyFont="1" applyFill="1" applyBorder="1" applyAlignment="1">
      <alignment vertical="center"/>
    </xf>
    <xf numFmtId="0" fontId="79" fillId="35" borderId="7" xfId="31" applyFont="1" applyFill="1" applyBorder="1" applyAlignment="1">
      <alignment vertical="center"/>
    </xf>
    <xf numFmtId="0" fontId="18" fillId="36" borderId="6" xfId="31" applyFont="1" applyFill="1" applyBorder="1" applyAlignment="1">
      <alignment vertical="center" wrapText="1"/>
    </xf>
    <xf numFmtId="0" fontId="18" fillId="0" borderId="7" xfId="31" applyFont="1" applyFill="1" applyBorder="1" applyAlignment="1">
      <alignment vertical="center"/>
    </xf>
    <xf numFmtId="0" fontId="18" fillId="2" borderId="7" xfId="31" applyFont="1" applyFill="1" applyBorder="1" applyAlignment="1">
      <alignment vertical="center"/>
    </xf>
    <xf numFmtId="0" fontId="80" fillId="0" borderId="84" xfId="31" applyFont="1" applyBorder="1" applyAlignment="1">
      <alignment vertical="center"/>
    </xf>
    <xf numFmtId="0" fontId="18" fillId="2" borderId="6" xfId="31" applyFont="1" applyFill="1" applyBorder="1" applyAlignment="1">
      <alignment vertical="center"/>
    </xf>
    <xf numFmtId="0" fontId="81" fillId="37" borderId="85" xfId="31" applyFont="1" applyFill="1" applyBorder="1" applyAlignment="1">
      <alignment horizontal="center" vertical="center"/>
    </xf>
    <xf numFmtId="0" fontId="61" fillId="0" borderId="78" xfId="31" applyFont="1" applyFill="1" applyBorder="1" applyAlignment="1">
      <alignment horizontal="center" vertical="center"/>
    </xf>
    <xf numFmtId="0" fontId="61" fillId="0" borderId="63" xfId="31" applyFont="1" applyBorder="1" applyAlignment="1">
      <alignment horizontal="center" vertical="center"/>
    </xf>
    <xf numFmtId="0" fontId="61" fillId="0" borderId="64" xfId="31" applyFont="1" applyBorder="1" applyAlignment="1">
      <alignment horizontal="center" vertical="center"/>
    </xf>
    <xf numFmtId="0" fontId="18" fillId="0" borderId="0" xfId="31" applyFont="1" applyAlignment="1">
      <alignment vertical="center" wrapText="1"/>
    </xf>
    <xf numFmtId="4" fontId="82" fillId="0" borderId="0" xfId="0" applyNumberFormat="1" applyFont="1" applyBorder="1"/>
    <xf numFmtId="0" fontId="68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/>
    </xf>
    <xf numFmtId="0" fontId="19" fillId="0" borderId="0" xfId="0" applyFont="1" applyBorder="1" applyAlignment="1">
      <alignment horizontal="left" vertical="center" wrapText="1"/>
    </xf>
    <xf numFmtId="4" fontId="19" fillId="0" borderId="0" xfId="0" applyNumberFormat="1" applyFont="1" applyFill="1" applyBorder="1" applyAlignment="1">
      <alignment horizontal="left" vertical="center" wrapText="1"/>
    </xf>
    <xf numFmtId="4" fontId="19" fillId="0" borderId="0" xfId="0" applyNumberFormat="1" applyFont="1" applyFill="1" applyBorder="1" applyAlignment="1">
      <alignment horizontal="left" vertical="center"/>
    </xf>
    <xf numFmtId="0" fontId="71" fillId="34" borderId="0" xfId="0" applyFont="1" applyFill="1" applyBorder="1" applyAlignment="1">
      <alignment horizontal="center"/>
    </xf>
    <xf numFmtId="0" fontId="55" fillId="33" borderId="0" xfId="0" applyFont="1" applyFill="1" applyBorder="1" applyAlignment="1">
      <alignment horizontal="left" wrapText="1"/>
    </xf>
    <xf numFmtId="0" fontId="18" fillId="0" borderId="0" xfId="1" applyFont="1" applyAlignment="1">
      <alignment horizontal="left" vertical="top" wrapText="1"/>
    </xf>
    <xf numFmtId="0" fontId="60" fillId="0" borderId="0" xfId="1" applyFont="1" applyAlignment="1">
      <alignment horizontal="left" vertical="top" wrapText="1"/>
    </xf>
    <xf numFmtId="0" fontId="22" fillId="0" borderId="0" xfId="0" applyFont="1" applyAlignment="1" applyProtection="1">
      <alignment horizontal="center" wrapText="1"/>
      <protection hidden="1"/>
    </xf>
    <xf numFmtId="0" fontId="36" fillId="0" borderId="47" xfId="0" applyFont="1" applyFill="1" applyBorder="1" applyAlignment="1" applyProtection="1">
      <alignment vertical="center"/>
      <protection hidden="1"/>
    </xf>
    <xf numFmtId="0" fontId="36" fillId="17" borderId="48" xfId="0" applyFont="1" applyFill="1" applyBorder="1" applyAlignment="1" applyProtection="1">
      <alignment vertical="center"/>
      <protection hidden="1"/>
    </xf>
    <xf numFmtId="0" fontId="36" fillId="0" borderId="47" xfId="0" applyFont="1" applyFill="1" applyBorder="1" applyAlignment="1" applyProtection="1">
      <alignment horizontal="left" vertical="center"/>
      <protection hidden="1"/>
    </xf>
    <xf numFmtId="0" fontId="36" fillId="17" borderId="47" xfId="0" applyFont="1" applyFill="1" applyBorder="1" applyAlignment="1" applyProtection="1">
      <alignment vertical="center"/>
      <protection hidden="1"/>
    </xf>
    <xf numFmtId="0" fontId="36" fillId="17" borderId="50" xfId="0" applyFont="1" applyFill="1" applyBorder="1" applyAlignment="1" applyProtection="1">
      <alignment vertical="center"/>
      <protection hidden="1"/>
    </xf>
    <xf numFmtId="0" fontId="8" fillId="0" borderId="47" xfId="0" applyFont="1" applyBorder="1" applyAlignment="1" applyProtection="1">
      <alignment horizontal="left" vertical="center"/>
      <protection hidden="1"/>
    </xf>
    <xf numFmtId="0" fontId="36" fillId="17" borderId="61" xfId="0" applyFont="1" applyFill="1" applyBorder="1" applyAlignment="1" applyProtection="1">
      <alignment vertical="center"/>
      <protection hidden="1"/>
    </xf>
    <xf numFmtId="0" fontId="8" fillId="0" borderId="0" xfId="0" applyFont="1" applyAlignment="1" applyProtection="1">
      <alignment horizontal="left" vertical="center" wrapText="1"/>
      <protection hidden="1"/>
    </xf>
    <xf numFmtId="0" fontId="36" fillId="15" borderId="8" xfId="0" applyFont="1" applyFill="1" applyBorder="1" applyAlignment="1" applyProtection="1">
      <alignment vertical="center"/>
      <protection hidden="1"/>
    </xf>
    <xf numFmtId="0" fontId="27" fillId="0" borderId="0" xfId="0" applyFont="1" applyBorder="1" applyAlignment="1" applyProtection="1">
      <alignment horizontal="left" vertical="center"/>
      <protection hidden="1"/>
    </xf>
    <xf numFmtId="0" fontId="36" fillId="17" borderId="8" xfId="0" applyFont="1" applyFill="1" applyBorder="1" applyAlignment="1" applyProtection="1">
      <alignment vertical="center"/>
      <protection hidden="1"/>
    </xf>
    <xf numFmtId="0" fontId="28" fillId="0" borderId="50" xfId="0" applyFont="1" applyBorder="1" applyAlignment="1" applyProtection="1">
      <alignment horizontal="center"/>
      <protection hidden="1"/>
    </xf>
    <xf numFmtId="0" fontId="36" fillId="17" borderId="50" xfId="0" applyFont="1" applyFill="1" applyBorder="1" applyAlignment="1" applyProtection="1">
      <alignment horizontal="left" vertical="center" indent="3"/>
      <protection hidden="1"/>
    </xf>
    <xf numFmtId="0" fontId="36" fillId="15" borderId="9" xfId="0" applyFont="1" applyFill="1" applyBorder="1" applyAlignment="1" applyProtection="1">
      <alignment vertical="center"/>
      <protection hidden="1"/>
    </xf>
    <xf numFmtId="0" fontId="36" fillId="15" borderId="10" xfId="0" applyFont="1" applyFill="1" applyBorder="1" applyAlignment="1" applyProtection="1">
      <alignment vertical="center"/>
      <protection hidden="1"/>
    </xf>
    <xf numFmtId="0" fontId="36" fillId="17" borderId="0" xfId="0" applyFont="1" applyFill="1" applyBorder="1" applyAlignment="1" applyProtection="1">
      <alignment vertical="center"/>
      <protection hidden="1"/>
    </xf>
    <xf numFmtId="0" fontId="8" fillId="0" borderId="0" xfId="0" applyFont="1" applyBorder="1" applyAlignment="1" applyProtection="1">
      <alignment horizontal="left" vertical="center"/>
      <protection hidden="1"/>
    </xf>
    <xf numFmtId="0" fontId="36" fillId="17" borderId="50" xfId="0" applyFont="1" applyFill="1" applyBorder="1" applyAlignment="1" applyProtection="1">
      <alignment vertical="center" wrapText="1"/>
      <protection hidden="1"/>
    </xf>
    <xf numFmtId="0" fontId="75" fillId="17" borderId="50" xfId="0" applyFont="1" applyFill="1" applyBorder="1" applyAlignment="1" applyProtection="1">
      <alignment horizontal="left" wrapText="1"/>
      <protection hidden="1"/>
    </xf>
    <xf numFmtId="0" fontId="75" fillId="17" borderId="0" xfId="0" applyFont="1" applyFill="1" applyBorder="1" applyAlignment="1" applyProtection="1">
      <alignment horizontal="left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28" fillId="0" borderId="0" xfId="0" applyFont="1" applyAlignment="1" applyProtection="1">
      <alignment horizontal="center"/>
      <protection hidden="1"/>
    </xf>
    <xf numFmtId="0" fontId="78" fillId="34" borderId="0" xfId="0" applyFont="1" applyFill="1" applyBorder="1" applyAlignment="1">
      <alignment horizontal="center" vertical="center" wrapText="1"/>
    </xf>
    <xf numFmtId="0" fontId="65" fillId="0" borderId="16" xfId="0" applyFont="1" applyBorder="1" applyAlignment="1">
      <alignment horizontal="left" vertical="center" wrapText="1"/>
    </xf>
    <xf numFmtId="0" fontId="65" fillId="0" borderId="2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center" vertical="center" wrapText="1"/>
    </xf>
    <xf numFmtId="0" fontId="36" fillId="17" borderId="55" xfId="0" applyFont="1" applyFill="1" applyBorder="1" applyAlignment="1">
      <alignment horizontal="left" vertical="center"/>
    </xf>
    <xf numFmtId="0" fontId="36" fillId="17" borderId="56" xfId="0" applyFont="1" applyFill="1" applyBorder="1" applyAlignment="1">
      <alignment horizontal="left" vertical="center"/>
    </xf>
    <xf numFmtId="0" fontId="65" fillId="0" borderId="17" xfId="0" applyFont="1" applyBorder="1" applyAlignment="1">
      <alignment horizontal="left" vertical="center" wrapText="1"/>
    </xf>
    <xf numFmtId="0" fontId="65" fillId="0" borderId="15" xfId="0" applyFont="1" applyBorder="1" applyAlignment="1">
      <alignment horizontal="left" vertical="center" wrapText="1"/>
    </xf>
    <xf numFmtId="4" fontId="65" fillId="0" borderId="14" xfId="0" applyNumberFormat="1" applyFont="1" applyFill="1" applyBorder="1" applyAlignment="1">
      <alignment horizontal="center" vertical="center"/>
    </xf>
    <xf numFmtId="4" fontId="65" fillId="0" borderId="15" xfId="0" applyNumberFormat="1" applyFont="1" applyFill="1" applyBorder="1" applyAlignment="1">
      <alignment horizontal="center" vertical="center"/>
    </xf>
    <xf numFmtId="180" fontId="65" fillId="0" borderId="21" xfId="0" applyNumberFormat="1" applyFont="1" applyFill="1" applyBorder="1" applyAlignment="1">
      <alignment horizontal="center" vertical="center"/>
    </xf>
    <xf numFmtId="180" fontId="65" fillId="0" borderId="20" xfId="0" applyNumberFormat="1" applyFont="1" applyFill="1" applyBorder="1" applyAlignment="1">
      <alignment horizontal="center" vertical="center"/>
    </xf>
    <xf numFmtId="0" fontId="19" fillId="0" borderId="17" xfId="0" applyFont="1" applyBorder="1" applyAlignment="1">
      <alignment horizontal="left" vertical="center" wrapText="1"/>
    </xf>
    <xf numFmtId="0" fontId="19" fillId="0" borderId="15" xfId="0" applyFont="1" applyBorder="1" applyAlignment="1">
      <alignment horizontal="left" vertical="center" wrapText="1"/>
    </xf>
    <xf numFmtId="0" fontId="65" fillId="17" borderId="54" xfId="0" applyFont="1" applyFill="1" applyBorder="1" applyAlignment="1">
      <alignment horizontal="left" vertical="center" wrapText="1"/>
    </xf>
    <xf numFmtId="0" fontId="65" fillId="17" borderId="55" xfId="0" applyFont="1" applyFill="1" applyBorder="1" applyAlignment="1">
      <alignment horizontal="left" vertical="center" wrapText="1"/>
    </xf>
    <xf numFmtId="4" fontId="19" fillId="0" borderId="14" xfId="0" applyNumberFormat="1" applyFont="1" applyFill="1" applyBorder="1" applyAlignment="1">
      <alignment horizontal="left" vertical="center" wrapText="1"/>
    </xf>
    <xf numFmtId="4" fontId="19" fillId="0" borderId="17" xfId="0" applyNumberFormat="1" applyFont="1" applyFill="1" applyBorder="1" applyAlignment="1">
      <alignment horizontal="left" vertical="center"/>
    </xf>
    <xf numFmtId="0" fontId="66" fillId="17" borderId="25" xfId="0" applyFont="1" applyFill="1" applyBorder="1" applyAlignment="1">
      <alignment horizontal="center" vertical="center" wrapText="1"/>
    </xf>
    <xf numFmtId="0" fontId="66" fillId="17" borderId="19" xfId="0" applyFont="1" applyFill="1" applyBorder="1" applyAlignment="1">
      <alignment horizontal="center" vertical="center" wrapText="1"/>
    </xf>
    <xf numFmtId="180" fontId="65" fillId="0" borderId="14" xfId="0" applyNumberFormat="1" applyFont="1" applyFill="1" applyBorder="1" applyAlignment="1">
      <alignment horizontal="center" vertical="center"/>
    </xf>
    <xf numFmtId="180" fontId="65" fillId="0" borderId="15" xfId="0" applyNumberFormat="1" applyFont="1" applyFill="1" applyBorder="1" applyAlignment="1">
      <alignment horizontal="center" vertical="center"/>
    </xf>
    <xf numFmtId="0" fontId="66" fillId="17" borderId="0" xfId="0" applyFont="1" applyFill="1" applyBorder="1" applyAlignment="1">
      <alignment horizontal="center" vertical="center" wrapText="1"/>
    </xf>
    <xf numFmtId="0" fontId="66" fillId="17" borderId="18" xfId="0" applyFont="1" applyFill="1" applyBorder="1" applyAlignment="1">
      <alignment horizontal="center" vertical="center" wrapText="1"/>
    </xf>
    <xf numFmtId="0" fontId="66" fillId="17" borderId="16" xfId="0" applyFont="1" applyFill="1" applyBorder="1" applyAlignment="1">
      <alignment horizontal="center" vertical="center" wrapText="1"/>
    </xf>
    <xf numFmtId="0" fontId="66" fillId="17" borderId="20" xfId="0" applyFont="1" applyFill="1" applyBorder="1" applyAlignment="1">
      <alignment horizontal="center" vertical="center" wrapText="1"/>
    </xf>
    <xf numFmtId="0" fontId="30" fillId="17" borderId="0" xfId="0" applyFont="1" applyFill="1" applyBorder="1" applyAlignment="1">
      <alignment horizontal="left" vertical="center"/>
    </xf>
    <xf numFmtId="0" fontId="66" fillId="17" borderId="23" xfId="0" applyFont="1" applyFill="1" applyBorder="1" applyAlignment="1">
      <alignment horizontal="center" vertical="center" wrapText="1"/>
    </xf>
    <xf numFmtId="0" fontId="32" fillId="17" borderId="59" xfId="0" applyFont="1" applyFill="1" applyBorder="1" applyAlignment="1">
      <alignment horizontal="left" vertical="center"/>
    </xf>
    <xf numFmtId="0" fontId="32" fillId="17" borderId="8" xfId="0" applyFont="1" applyFill="1" applyBorder="1" applyAlignment="1">
      <alignment horizontal="left" vertical="center"/>
    </xf>
    <xf numFmtId="0" fontId="32" fillId="17" borderId="60" xfId="0" applyFont="1" applyFill="1" applyBorder="1" applyAlignment="1">
      <alignment horizontal="left" vertical="center"/>
    </xf>
    <xf numFmtId="0" fontId="32" fillId="17" borderId="9" xfId="0" applyFont="1" applyFill="1" applyBorder="1" applyAlignment="1">
      <alignment horizontal="left" vertical="center"/>
    </xf>
    <xf numFmtId="0" fontId="32" fillId="17" borderId="54" xfId="0" applyFont="1" applyFill="1" applyBorder="1" applyAlignment="1">
      <alignment horizontal="left" vertical="center"/>
    </xf>
    <xf numFmtId="0" fontId="32" fillId="17" borderId="55" xfId="0" applyFont="1" applyFill="1" applyBorder="1" applyAlignment="1">
      <alignment horizontal="left" vertical="center"/>
    </xf>
    <xf numFmtId="0" fontId="66" fillId="17" borderId="22" xfId="0" applyFont="1" applyFill="1" applyBorder="1" applyAlignment="1">
      <alignment horizontal="center" vertical="center" wrapText="1"/>
    </xf>
    <xf numFmtId="0" fontId="66" fillId="17" borderId="2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center"/>
    </xf>
    <xf numFmtId="0" fontId="30" fillId="17" borderId="51" xfId="0" applyFont="1" applyFill="1" applyBorder="1" applyAlignment="1">
      <alignment horizontal="center" vertical="center"/>
    </xf>
    <xf numFmtId="0" fontId="30" fillId="17" borderId="52" xfId="0" applyFont="1" applyFill="1" applyBorder="1" applyAlignment="1">
      <alignment horizontal="center" vertical="center"/>
    </xf>
    <xf numFmtId="0" fontId="30" fillId="17" borderId="53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77" fillId="34" borderId="0" xfId="0" applyFont="1" applyFill="1" applyAlignment="1">
      <alignment horizontal="center" vertical="center"/>
    </xf>
    <xf numFmtId="0" fontId="78" fillId="34" borderId="0" xfId="0" applyFont="1" applyFill="1" applyBorder="1" applyAlignment="1">
      <alignment horizontal="center" vertical="center"/>
    </xf>
    <xf numFmtId="0" fontId="66" fillId="17" borderId="24" xfId="0" applyFont="1" applyFill="1" applyBorder="1" applyAlignment="1">
      <alignment horizontal="center" vertical="center" wrapText="1"/>
    </xf>
    <xf numFmtId="0" fontId="19" fillId="17" borderId="0" xfId="0" applyFont="1" applyFill="1" applyBorder="1" applyAlignment="1">
      <alignment horizontal="center" vertical="center" wrapText="1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31" fillId="17" borderId="51" xfId="0" applyFont="1" applyFill="1" applyBorder="1" applyAlignment="1">
      <alignment horizontal="center" vertical="center"/>
    </xf>
    <xf numFmtId="0" fontId="31" fillId="17" borderId="52" xfId="0" applyFont="1" applyFill="1" applyBorder="1" applyAlignment="1">
      <alignment horizontal="center" vertical="center"/>
    </xf>
    <xf numFmtId="0" fontId="31" fillId="17" borderId="53" xfId="0" applyFont="1" applyFill="1" applyBorder="1" applyAlignment="1">
      <alignment horizontal="center" vertical="center"/>
    </xf>
    <xf numFmtId="0" fontId="65" fillId="0" borderId="24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69" xfId="31" applyFont="1" applyBorder="1" applyAlignment="1">
      <alignment vertical="center" wrapText="1"/>
    </xf>
    <xf numFmtId="0" fontId="18" fillId="0" borderId="67" xfId="31" applyFont="1" applyBorder="1" applyAlignment="1">
      <alignment vertical="center" wrapText="1"/>
    </xf>
    <xf numFmtId="0" fontId="18" fillId="0" borderId="66" xfId="31" applyFont="1" applyBorder="1" applyAlignment="1">
      <alignment vertical="center" wrapText="1"/>
    </xf>
    <xf numFmtId="0" fontId="18" fillId="0" borderId="68" xfId="31" applyFont="1" applyBorder="1" applyAlignment="1">
      <alignment vertical="center" wrapText="1"/>
    </xf>
    <xf numFmtId="0" fontId="18" fillId="0" borderId="7" xfId="31" applyFont="1" applyBorder="1" applyAlignment="1">
      <alignment vertical="center" wrapText="1"/>
    </xf>
    <xf numFmtId="0" fontId="18" fillId="0" borderId="65" xfId="31" applyFont="1" applyBorder="1" applyAlignment="1">
      <alignment vertical="center" wrapText="1"/>
    </xf>
    <xf numFmtId="0" fontId="18" fillId="0" borderId="69" xfId="31" applyFont="1" applyFill="1" applyBorder="1" applyAlignment="1">
      <alignment vertical="center"/>
    </xf>
    <xf numFmtId="0" fontId="18" fillId="0" borderId="67" xfId="31" applyFont="1" applyFill="1" applyBorder="1" applyAlignment="1">
      <alignment vertical="center"/>
    </xf>
    <xf numFmtId="0" fontId="18" fillId="0" borderId="66" xfId="31" applyFont="1" applyFill="1" applyBorder="1" applyAlignment="1">
      <alignment vertical="center"/>
    </xf>
    <xf numFmtId="0" fontId="18" fillId="0" borderId="68" xfId="31" applyFont="1" applyFill="1" applyBorder="1" applyAlignment="1">
      <alignment vertical="center"/>
    </xf>
    <xf numFmtId="0" fontId="18" fillId="0" borderId="7" xfId="31" applyFont="1" applyFill="1" applyBorder="1" applyAlignment="1">
      <alignment vertical="center"/>
    </xf>
    <xf numFmtId="0" fontId="18" fillId="0" borderId="65" xfId="31" applyFont="1" applyFill="1" applyBorder="1" applyAlignment="1">
      <alignment vertical="center"/>
    </xf>
    <xf numFmtId="0" fontId="18" fillId="0" borderId="69" xfId="31" applyFont="1" applyFill="1" applyBorder="1" applyAlignment="1">
      <alignment vertical="center" wrapText="1"/>
    </xf>
    <xf numFmtId="0" fontId="18" fillId="0" borderId="66" xfId="31" applyFont="1" applyFill="1" applyBorder="1" applyAlignment="1">
      <alignment vertical="center" wrapText="1"/>
    </xf>
    <xf numFmtId="0" fontId="18" fillId="0" borderId="68" xfId="31" applyFont="1" applyFill="1" applyBorder="1" applyAlignment="1">
      <alignment vertical="center" wrapText="1"/>
    </xf>
    <xf numFmtId="0" fontId="18" fillId="0" borderId="65" xfId="31" applyFont="1" applyFill="1" applyBorder="1" applyAlignment="1">
      <alignment vertical="center" wrapText="1"/>
    </xf>
    <xf numFmtId="0" fontId="18" fillId="0" borderId="71" xfId="31" applyFont="1" applyFill="1" applyBorder="1" applyAlignment="1">
      <alignment vertical="center" wrapText="1"/>
    </xf>
    <xf numFmtId="0" fontId="18" fillId="0" borderId="70" xfId="31" applyFont="1" applyFill="1" applyBorder="1" applyAlignment="1">
      <alignment vertical="center" wrapText="1"/>
    </xf>
    <xf numFmtId="0" fontId="18" fillId="0" borderId="67" xfId="31" applyFont="1" applyFill="1" applyBorder="1" applyAlignment="1">
      <alignment vertical="center" wrapText="1"/>
    </xf>
    <xf numFmtId="0" fontId="18" fillId="0" borderId="7" xfId="31" applyFont="1" applyFill="1" applyBorder="1" applyAlignment="1">
      <alignment vertical="center" wrapText="1"/>
    </xf>
    <xf numFmtId="0" fontId="18" fillId="0" borderId="30" xfId="31" applyFont="1" applyFill="1" applyBorder="1" applyAlignment="1">
      <alignment vertical="center" wrapText="1"/>
    </xf>
    <xf numFmtId="0" fontId="18" fillId="8" borderId="69" xfId="31" applyFont="1" applyFill="1" applyBorder="1" applyAlignment="1">
      <alignment vertical="center" wrapText="1"/>
    </xf>
    <xf numFmtId="0" fontId="18" fillId="8" borderId="67" xfId="31" applyFont="1" applyFill="1" applyBorder="1" applyAlignment="1">
      <alignment vertical="center" wrapText="1"/>
    </xf>
    <xf numFmtId="0" fontId="18" fillId="8" borderId="66" xfId="31" applyFont="1" applyFill="1" applyBorder="1" applyAlignment="1">
      <alignment vertical="center" wrapText="1"/>
    </xf>
    <xf numFmtId="0" fontId="18" fillId="8" borderId="68" xfId="31" applyFont="1" applyFill="1" applyBorder="1" applyAlignment="1">
      <alignment vertical="center" wrapText="1"/>
    </xf>
    <xf numFmtId="0" fontId="18" fillId="8" borderId="7" xfId="31" applyFont="1" applyFill="1" applyBorder="1" applyAlignment="1">
      <alignment vertical="center" wrapText="1"/>
    </xf>
    <xf numFmtId="0" fontId="18" fillId="8" borderId="65" xfId="31" applyFont="1" applyFill="1" applyBorder="1" applyAlignment="1">
      <alignment vertical="center" wrapText="1"/>
    </xf>
    <xf numFmtId="0" fontId="18" fillId="0" borderId="71" xfId="31" applyFont="1" applyFill="1" applyBorder="1" applyAlignment="1">
      <alignment vertical="center"/>
    </xf>
    <xf numFmtId="0" fontId="18" fillId="0" borderId="30" xfId="31" applyFont="1" applyFill="1" applyBorder="1" applyAlignment="1">
      <alignment vertical="center"/>
    </xf>
    <xf numFmtId="0" fontId="18" fillId="0" borderId="70" xfId="31" applyFont="1" applyFill="1" applyBorder="1" applyAlignment="1">
      <alignment vertical="center"/>
    </xf>
    <xf numFmtId="0" fontId="18" fillId="0" borderId="69" xfId="31" applyFont="1" applyBorder="1" applyAlignment="1">
      <alignment vertical="center"/>
    </xf>
    <xf numFmtId="0" fontId="18" fillId="0" borderId="67" xfId="31" applyFont="1" applyBorder="1" applyAlignment="1">
      <alignment vertical="center"/>
    </xf>
    <xf numFmtId="0" fontId="18" fillId="0" borderId="66" xfId="31" applyFont="1" applyBorder="1" applyAlignment="1">
      <alignment vertical="center"/>
    </xf>
    <xf numFmtId="0" fontId="18" fillId="0" borderId="76" xfId="31" applyFont="1" applyBorder="1" applyAlignment="1">
      <alignment vertical="center"/>
    </xf>
    <xf numFmtId="0" fontId="18" fillId="0" borderId="1" xfId="31" applyFont="1" applyBorder="1" applyAlignment="1">
      <alignment vertical="center"/>
    </xf>
    <xf numFmtId="0" fontId="18" fillId="0" borderId="74" xfId="31" applyFont="1" applyBorder="1" applyAlignment="1">
      <alignment vertical="center"/>
    </xf>
    <xf numFmtId="0" fontId="18" fillId="0" borderId="71" xfId="31" applyFont="1" applyBorder="1" applyAlignment="1">
      <alignment vertical="center" wrapText="1"/>
    </xf>
    <xf numFmtId="0" fontId="18" fillId="0" borderId="30" xfId="31" applyFont="1" applyBorder="1" applyAlignment="1">
      <alignment vertical="center" wrapText="1"/>
    </xf>
    <xf numFmtId="0" fontId="18" fillId="0" borderId="70" xfId="31" applyFont="1" applyBorder="1" applyAlignment="1">
      <alignment vertical="center" wrapText="1"/>
    </xf>
    <xf numFmtId="0" fontId="18" fillId="0" borderId="6" xfId="31" applyFont="1" applyFill="1" applyBorder="1" applyAlignment="1">
      <alignment vertical="center" wrapText="1"/>
    </xf>
    <xf numFmtId="0" fontId="18" fillId="0" borderId="2" xfId="31" applyFont="1" applyFill="1" applyBorder="1" applyAlignment="1">
      <alignment vertical="center" wrapText="1"/>
    </xf>
    <xf numFmtId="0" fontId="18" fillId="0" borderId="79" xfId="31" applyFont="1" applyBorder="1" applyAlignment="1">
      <alignment vertical="center" wrapText="1"/>
    </xf>
    <xf numFmtId="0" fontId="18" fillId="0" borderId="6" xfId="31" applyFont="1" applyBorder="1" applyAlignment="1">
      <alignment vertical="center" wrapText="1"/>
    </xf>
    <xf numFmtId="0" fontId="18" fillId="2" borderId="1" xfId="31" applyFont="1" applyFill="1" applyBorder="1" applyAlignment="1">
      <alignment vertical="center" wrapText="1"/>
    </xf>
    <xf numFmtId="0" fontId="18" fillId="0" borderId="1" xfId="31" applyFont="1" applyFill="1" applyBorder="1" applyAlignment="1">
      <alignment vertical="center" wrapText="1"/>
    </xf>
    <xf numFmtId="0" fontId="18" fillId="0" borderId="6" xfId="31" applyFont="1" applyFill="1" applyBorder="1" applyAlignment="1">
      <alignment vertical="center"/>
    </xf>
    <xf numFmtId="0" fontId="18" fillId="0" borderId="2" xfId="31" applyFont="1" applyFill="1" applyBorder="1" applyAlignment="1">
      <alignment vertical="center"/>
    </xf>
    <xf numFmtId="0" fontId="18" fillId="0" borderId="83" xfId="31" applyFont="1" applyFill="1" applyBorder="1" applyAlignment="1">
      <alignment vertical="center"/>
    </xf>
    <xf numFmtId="0" fontId="18" fillId="0" borderId="82" xfId="31" applyFont="1" applyFill="1" applyBorder="1" applyAlignment="1">
      <alignment vertical="center"/>
    </xf>
    <xf numFmtId="0" fontId="18" fillId="2" borderId="69" xfId="31" applyFont="1" applyFill="1" applyBorder="1" applyAlignment="1">
      <alignment vertical="center"/>
    </xf>
    <xf numFmtId="0" fontId="18" fillId="2" borderId="67" xfId="31" applyFont="1" applyFill="1" applyBorder="1" applyAlignment="1">
      <alignment vertical="center"/>
    </xf>
    <xf numFmtId="0" fontId="18" fillId="2" borderId="66" xfId="31" applyFont="1" applyFill="1" applyBorder="1" applyAlignment="1">
      <alignment vertical="center"/>
    </xf>
    <xf numFmtId="0" fontId="18" fillId="2" borderId="68" xfId="31" applyFont="1" applyFill="1" applyBorder="1" applyAlignment="1">
      <alignment vertical="center"/>
    </xf>
    <xf numFmtId="0" fontId="18" fillId="2" borderId="7" xfId="31" applyFont="1" applyFill="1" applyBorder="1" applyAlignment="1">
      <alignment vertical="center"/>
    </xf>
    <xf numFmtId="0" fontId="18" fillId="2" borderId="65" xfId="31" applyFont="1" applyFill="1" applyBorder="1" applyAlignment="1">
      <alignment vertical="center"/>
    </xf>
    <xf numFmtId="0" fontId="18" fillId="2" borderId="71" xfId="31" applyFont="1" applyFill="1" applyBorder="1" applyAlignment="1">
      <alignment vertical="center" wrapText="1"/>
    </xf>
    <xf numFmtId="0" fontId="18" fillId="2" borderId="30" xfId="31" applyFont="1" applyFill="1" applyBorder="1" applyAlignment="1">
      <alignment vertical="center" wrapText="1"/>
    </xf>
    <xf numFmtId="0" fontId="18" fillId="2" borderId="70" xfId="31" applyFont="1" applyFill="1" applyBorder="1" applyAlignment="1">
      <alignment vertical="center" wrapText="1"/>
    </xf>
    <xf numFmtId="1" fontId="26" fillId="2" borderId="1" xfId="0" applyNumberFormat="1" applyFont="1" applyFill="1" applyBorder="1" applyAlignment="1">
      <alignment horizontal="left" vertical="top" wrapText="1"/>
    </xf>
    <xf numFmtId="0" fontId="26" fillId="2" borderId="1" xfId="0" applyFont="1" applyFill="1" applyBorder="1" applyAlignment="1">
      <alignment horizontal="left" vertical="top" wrapText="1"/>
    </xf>
    <xf numFmtId="0" fontId="24" fillId="2" borderId="1" xfId="0" applyFont="1" applyFill="1" applyBorder="1" applyAlignment="1">
      <alignment horizontal="center" vertical="center" wrapText="1"/>
    </xf>
    <xf numFmtId="0" fontId="2" fillId="14" borderId="4" xfId="28" applyFont="1" applyFill="1" applyBorder="1" applyAlignment="1">
      <alignment horizontal="center" vertical="center" wrapText="1"/>
    </xf>
    <xf numFmtId="0" fontId="2" fillId="14" borderId="5" xfId="28" applyFont="1" applyFill="1" applyBorder="1" applyAlignment="1">
      <alignment horizontal="center" vertical="center" wrapText="1"/>
    </xf>
    <xf numFmtId="0" fontId="2" fillId="14" borderId="3" xfId="28" applyFont="1" applyFill="1" applyBorder="1" applyAlignment="1">
      <alignment horizontal="center" vertical="center" wrapText="1"/>
    </xf>
    <xf numFmtId="176" fontId="52" fillId="0" borderId="0" xfId="29" applyFont="1" applyAlignment="1">
      <alignment horizontal="center"/>
    </xf>
    <xf numFmtId="176" fontId="49" fillId="0" borderId="0" xfId="29" applyFont="1" applyAlignment="1">
      <alignment horizontal="center"/>
    </xf>
  </cellXfs>
  <cellStyles count="32">
    <cellStyle name="Comma1 - Style1" xfId="5" xr:uid="{00000000-0005-0000-0000-000000000000}"/>
    <cellStyle name="Normal 2" xfId="6" xr:uid="{00000000-0005-0000-0000-000001000000}"/>
    <cellStyle name="Normal_~3239144" xfId="14" xr:uid="{00000000-0005-0000-0000-000002000000}"/>
    <cellStyle name="Normal_Условия" xfId="29" xr:uid="{00000000-0005-0000-0000-000003000000}"/>
    <cellStyle name="Undefiniert" xfId="7" xr:uid="{00000000-0005-0000-0000-000004000000}"/>
    <cellStyle name="Обычный" xfId="0" builtinId="0"/>
    <cellStyle name="Обычный 10" xfId="1" xr:uid="{00000000-0005-0000-0000-000006000000}"/>
    <cellStyle name="Обычный 2" xfId="4" xr:uid="{00000000-0005-0000-0000-000007000000}"/>
    <cellStyle name="Обычный 2 2" xfId="19" xr:uid="{00000000-0005-0000-0000-000008000000}"/>
    <cellStyle name="Обычный 2 3" xfId="21" xr:uid="{00000000-0005-0000-0000-000009000000}"/>
    <cellStyle name="Обычный 3" xfId="26" xr:uid="{00000000-0005-0000-0000-00000A000000}"/>
    <cellStyle name="Обычный 3 2" xfId="30" xr:uid="{00000000-0005-0000-0000-00000B000000}"/>
    <cellStyle name="Обычный 4" xfId="28" xr:uid="{00000000-0005-0000-0000-00000C000000}"/>
    <cellStyle name="Обычный 5" xfId="31" xr:uid="{00000000-0005-0000-0000-00000D000000}"/>
    <cellStyle name="Обычный 6" xfId="3" xr:uid="{00000000-0005-0000-0000-00000E000000}"/>
    <cellStyle name="Обычный 7" xfId="25" xr:uid="{00000000-0005-0000-0000-00000F000000}"/>
    <cellStyle name="Процентный 2" xfId="9" xr:uid="{00000000-0005-0000-0000-000010000000}"/>
    <cellStyle name="Процентный 2 2" xfId="15" xr:uid="{00000000-0005-0000-0000-000011000000}"/>
    <cellStyle name="Процентный 3" xfId="10" xr:uid="{00000000-0005-0000-0000-000012000000}"/>
    <cellStyle name="Процентный 3 2" xfId="16" xr:uid="{00000000-0005-0000-0000-000013000000}"/>
    <cellStyle name="Процентный 4" xfId="8" xr:uid="{00000000-0005-0000-0000-000014000000}"/>
    <cellStyle name="Процентный 5" xfId="20" xr:uid="{00000000-0005-0000-0000-000015000000}"/>
    <cellStyle name="Процентный 6" xfId="23" xr:uid="{00000000-0005-0000-0000-000016000000}"/>
    <cellStyle name="Процентный 7" xfId="27" xr:uid="{00000000-0005-0000-0000-000017000000}"/>
    <cellStyle name="Финансовый 16" xfId="2" xr:uid="{00000000-0005-0000-0000-000018000000}"/>
    <cellStyle name="Финансовый 2" xfId="12" xr:uid="{00000000-0005-0000-0000-000019000000}"/>
    <cellStyle name="Финансовый 2 2" xfId="17" xr:uid="{00000000-0005-0000-0000-00001A000000}"/>
    <cellStyle name="Финансовый 3" xfId="13" xr:uid="{00000000-0005-0000-0000-00001B000000}"/>
    <cellStyle name="Финансовый 3 2" xfId="18" xr:uid="{00000000-0005-0000-0000-00001C000000}"/>
    <cellStyle name="Финансовый 4" xfId="11" xr:uid="{00000000-0005-0000-0000-00001D000000}"/>
    <cellStyle name="Финансовый 5" xfId="22" xr:uid="{00000000-0005-0000-0000-00001E000000}"/>
    <cellStyle name="Финансовый 6" xfId="24" xr:uid="{00000000-0005-0000-0000-00001F000000}"/>
  </cellStyles>
  <dxfs count="3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5" tint="0.3999450666829432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5" tint="0.39994506668294322"/>
      </font>
    </dxf>
    <dxf>
      <fill>
        <patternFill>
          <bgColor theme="0" tint="-4.9989318521683403E-2"/>
        </patternFill>
      </fill>
    </dxf>
    <dxf>
      <font>
        <color rgb="FFFF0000"/>
      </font>
    </dxf>
    <dxf>
      <font>
        <color theme="5" tint="0.39994506668294322"/>
      </font>
    </dxf>
    <dxf>
      <font>
        <color theme="5" tint="0.39994506668294322"/>
      </font>
    </dxf>
    <dxf>
      <font>
        <color theme="5" tint="0.39994506668294322"/>
      </font>
    </dxf>
    <dxf>
      <font>
        <color theme="0" tint="-0.24994659260841701"/>
      </font>
    </dxf>
    <dxf>
      <font>
        <color theme="5" tint="0.39994506668294322"/>
      </font>
    </dxf>
    <dxf>
      <font>
        <color theme="0" tint="-0.24994659260841701"/>
      </font>
    </dxf>
    <dxf>
      <font>
        <color theme="5" tint="0.39994506668294322"/>
      </font>
    </dxf>
    <dxf>
      <font>
        <color theme="5" tint="0.3999450666829432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5" tint="0.39994506668294322"/>
      </font>
    </dxf>
    <dxf>
      <font>
        <color theme="0" tint="-0.24994659260841701"/>
      </font>
    </dxf>
    <dxf>
      <font>
        <color theme="5" tint="0.3999450666829432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5" tint="0.39994506668294322"/>
      </font>
    </dxf>
    <dxf>
      <font>
        <color theme="0" tint="-0.24994659260841701"/>
      </font>
    </dxf>
    <dxf>
      <font>
        <color theme="5" tint="0.3999450666829432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5" tint="0.39994506668294322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990032"/>
      <color rgb="FFEEDBC4"/>
      <color rgb="FFC88C46"/>
      <color rgb="FFFFBDD1"/>
      <color rgb="FFFFCCCC"/>
      <color rgb="FFE2F3F6"/>
      <color rgb="FF1E1E46"/>
      <color rgb="FF505254"/>
      <color rgb="FF00BEF0"/>
      <color rgb="FFD5EF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4029075</xdr:colOff>
      <xdr:row>19</xdr:row>
      <xdr:rowOff>9525</xdr:rowOff>
    </xdr:from>
    <xdr:to>
      <xdr:col>7</xdr:col>
      <xdr:colOff>295275</xdr:colOff>
      <xdr:row>20</xdr:row>
      <xdr:rowOff>104775</xdr:rowOff>
    </xdr:to>
    <xdr:sp macro="[0]!ws_Calc1_1.myMoveToClientInfo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648200" y="4362450"/>
          <a:ext cx="2752725" cy="285750"/>
        </a:xfrm>
        <a:prstGeom prst="roundRect">
          <a:avLst/>
        </a:prstGeom>
        <a:solidFill>
          <a:srgbClr val="990032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bg1"/>
              </a:solidFill>
            </a:rPr>
            <a:t>Перейти</a:t>
          </a:r>
          <a:r>
            <a:rPr lang="ru-RU" sz="1100" b="1" baseline="0">
              <a:solidFill>
                <a:schemeClr val="bg1"/>
              </a:solidFill>
            </a:rPr>
            <a:t> к расчету программы...</a:t>
          </a:r>
          <a:endParaRPr lang="ru-RU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695325</xdr:colOff>
      <xdr:row>5</xdr:row>
      <xdr:rowOff>123825</xdr:rowOff>
    </xdr:from>
    <xdr:to>
      <xdr:col>10</xdr:col>
      <xdr:colOff>2133600</xdr:colOff>
      <xdr:row>5</xdr:row>
      <xdr:rowOff>409575</xdr:rowOff>
    </xdr:to>
    <xdr:sp macro="[0]!wsCL.myRunCalc" textlink="">
      <xdr:nvSpPr>
        <xdr:cNvPr id="23" name="Скругленный прямоугольник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4448175" y="904875"/>
          <a:ext cx="1438275" cy="285750"/>
        </a:xfrm>
        <a:prstGeom prst="roundRect">
          <a:avLst/>
        </a:prstGeom>
        <a:solidFill>
          <a:srgbClr val="990032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bg1"/>
              </a:solidFill>
            </a:rPr>
            <a:t>РАССЧИТАТЬ</a:t>
          </a:r>
        </a:p>
      </xdr:txBody>
    </xdr:sp>
    <xdr:clientData/>
  </xdr:twoCellAnchor>
  <xdr:twoCellAnchor>
    <xdr:from>
      <xdr:col>1</xdr:col>
      <xdr:colOff>55438</xdr:colOff>
      <xdr:row>1</xdr:row>
      <xdr:rowOff>134309</xdr:rowOff>
    </xdr:from>
    <xdr:to>
      <xdr:col>5</xdr:col>
      <xdr:colOff>121967</xdr:colOff>
      <xdr:row>2</xdr:row>
      <xdr:rowOff>142875</xdr:rowOff>
    </xdr:to>
    <xdr:grpSp>
      <xdr:nvGrpSpPr>
        <xdr:cNvPr id="24" name="Group 4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>
          <a:grpSpLocks noChangeAspect="1"/>
        </xdr:cNvGrpSpPr>
      </xdr:nvGrpSpPr>
      <xdr:grpSpPr bwMode="auto">
        <a:xfrm>
          <a:off x="417388" y="324809"/>
          <a:ext cx="2352529" cy="199066"/>
          <a:chOff x="417" y="7986"/>
          <a:chExt cx="2870" cy="241"/>
        </a:xfrm>
      </xdr:grpSpPr>
      <xdr:sp macro="" textlink="">
        <xdr:nvSpPr>
          <xdr:cNvPr id="25" name="Freeform 5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/>
          </xdr:cNvSpPr>
        </xdr:nvSpPr>
        <xdr:spPr bwMode="auto">
          <a:xfrm>
            <a:off x="2570" y="7986"/>
            <a:ext cx="170" cy="241"/>
          </a:xfrm>
          <a:custGeom>
            <a:avLst/>
            <a:gdLst>
              <a:gd name="T0" fmla="*/ 49 w 170"/>
              <a:gd name="T1" fmla="*/ 145 h 241"/>
              <a:gd name="T2" fmla="*/ 49 w 170"/>
              <a:gd name="T3" fmla="*/ 0 h 241"/>
              <a:gd name="T4" fmla="*/ 0 w 170"/>
              <a:gd name="T5" fmla="*/ 0 h 241"/>
              <a:gd name="T6" fmla="*/ 0 w 170"/>
              <a:gd name="T7" fmla="*/ 241 h 241"/>
              <a:gd name="T8" fmla="*/ 47 w 170"/>
              <a:gd name="T9" fmla="*/ 241 h 241"/>
              <a:gd name="T10" fmla="*/ 121 w 170"/>
              <a:gd name="T11" fmla="*/ 95 h 241"/>
              <a:gd name="T12" fmla="*/ 121 w 170"/>
              <a:gd name="T13" fmla="*/ 241 h 241"/>
              <a:gd name="T14" fmla="*/ 170 w 170"/>
              <a:gd name="T15" fmla="*/ 241 h 241"/>
              <a:gd name="T16" fmla="*/ 170 w 170"/>
              <a:gd name="T17" fmla="*/ 0 h 241"/>
              <a:gd name="T18" fmla="*/ 123 w 170"/>
              <a:gd name="T19" fmla="*/ 0 h 241"/>
              <a:gd name="T20" fmla="*/ 49 w 170"/>
              <a:gd name="T21" fmla="*/ 145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70" h="241">
                <a:moveTo>
                  <a:pt x="49" y="145"/>
                </a:moveTo>
                <a:lnTo>
                  <a:pt x="49" y="0"/>
                </a:lnTo>
                <a:lnTo>
                  <a:pt x="0" y="0"/>
                </a:lnTo>
                <a:lnTo>
                  <a:pt x="0" y="241"/>
                </a:lnTo>
                <a:lnTo>
                  <a:pt x="47" y="241"/>
                </a:lnTo>
                <a:lnTo>
                  <a:pt x="121" y="95"/>
                </a:lnTo>
                <a:lnTo>
                  <a:pt x="121" y="241"/>
                </a:lnTo>
                <a:lnTo>
                  <a:pt x="170" y="241"/>
                </a:lnTo>
                <a:lnTo>
                  <a:pt x="170" y="0"/>
                </a:lnTo>
                <a:lnTo>
                  <a:pt x="123" y="0"/>
                </a:lnTo>
                <a:lnTo>
                  <a:pt x="49" y="145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26" name="Freeform 6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/>
          </xdr:cNvSpPr>
        </xdr:nvSpPr>
        <xdr:spPr bwMode="auto">
          <a:xfrm>
            <a:off x="2773" y="7986"/>
            <a:ext cx="135" cy="241"/>
          </a:xfrm>
          <a:custGeom>
            <a:avLst/>
            <a:gdLst>
              <a:gd name="T0" fmla="*/ 1 w 135"/>
              <a:gd name="T1" fmla="*/ 0 h 241"/>
              <a:gd name="T2" fmla="*/ 1 w 135"/>
              <a:gd name="T3" fmla="*/ 46 h 241"/>
              <a:gd name="T4" fmla="*/ 85 w 135"/>
              <a:gd name="T5" fmla="*/ 46 h 241"/>
              <a:gd name="T6" fmla="*/ 85 w 135"/>
              <a:gd name="T7" fmla="*/ 96 h 241"/>
              <a:gd name="T8" fmla="*/ 21 w 135"/>
              <a:gd name="T9" fmla="*/ 96 h 241"/>
              <a:gd name="T10" fmla="*/ 21 w 135"/>
              <a:gd name="T11" fmla="*/ 143 h 241"/>
              <a:gd name="T12" fmla="*/ 85 w 135"/>
              <a:gd name="T13" fmla="*/ 143 h 241"/>
              <a:gd name="T14" fmla="*/ 85 w 135"/>
              <a:gd name="T15" fmla="*/ 195 h 241"/>
              <a:gd name="T16" fmla="*/ 0 w 135"/>
              <a:gd name="T17" fmla="*/ 195 h 241"/>
              <a:gd name="T18" fmla="*/ 0 w 135"/>
              <a:gd name="T19" fmla="*/ 241 h 241"/>
              <a:gd name="T20" fmla="*/ 99 w 135"/>
              <a:gd name="T21" fmla="*/ 241 h 241"/>
              <a:gd name="T22" fmla="*/ 135 w 135"/>
              <a:gd name="T23" fmla="*/ 206 h 241"/>
              <a:gd name="T24" fmla="*/ 135 w 135"/>
              <a:gd name="T25" fmla="*/ 147 h 241"/>
              <a:gd name="T26" fmla="*/ 105 w 135"/>
              <a:gd name="T27" fmla="*/ 119 h 241"/>
              <a:gd name="T28" fmla="*/ 135 w 135"/>
              <a:gd name="T29" fmla="*/ 91 h 241"/>
              <a:gd name="T30" fmla="*/ 135 w 135"/>
              <a:gd name="T31" fmla="*/ 34 h 241"/>
              <a:gd name="T32" fmla="*/ 99 w 135"/>
              <a:gd name="T33" fmla="*/ 0 h 241"/>
              <a:gd name="T34" fmla="*/ 1 w 135"/>
              <a:gd name="T35" fmla="*/ 0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135" h="241">
                <a:moveTo>
                  <a:pt x="1" y="0"/>
                </a:moveTo>
                <a:lnTo>
                  <a:pt x="1" y="46"/>
                </a:lnTo>
                <a:lnTo>
                  <a:pt x="85" y="46"/>
                </a:lnTo>
                <a:lnTo>
                  <a:pt x="85" y="96"/>
                </a:lnTo>
                <a:lnTo>
                  <a:pt x="21" y="96"/>
                </a:lnTo>
                <a:lnTo>
                  <a:pt x="21" y="143"/>
                </a:lnTo>
                <a:lnTo>
                  <a:pt x="85" y="143"/>
                </a:lnTo>
                <a:lnTo>
                  <a:pt x="85" y="195"/>
                </a:lnTo>
                <a:lnTo>
                  <a:pt x="0" y="195"/>
                </a:lnTo>
                <a:lnTo>
                  <a:pt x="0" y="241"/>
                </a:lnTo>
                <a:lnTo>
                  <a:pt x="99" y="241"/>
                </a:lnTo>
                <a:lnTo>
                  <a:pt x="135" y="206"/>
                </a:lnTo>
                <a:lnTo>
                  <a:pt x="135" y="147"/>
                </a:lnTo>
                <a:lnTo>
                  <a:pt x="105" y="119"/>
                </a:lnTo>
                <a:lnTo>
                  <a:pt x="135" y="91"/>
                </a:lnTo>
                <a:lnTo>
                  <a:pt x="135" y="34"/>
                </a:lnTo>
                <a:lnTo>
                  <a:pt x="99" y="0"/>
                </a:lnTo>
                <a:lnTo>
                  <a:pt x="1" y="0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27" name="Freeform 7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EditPoints="1"/>
          </xdr:cNvSpPr>
        </xdr:nvSpPr>
        <xdr:spPr bwMode="auto">
          <a:xfrm>
            <a:off x="3137" y="7986"/>
            <a:ext cx="150" cy="241"/>
          </a:xfrm>
          <a:custGeom>
            <a:avLst/>
            <a:gdLst>
              <a:gd name="T0" fmla="*/ 113 w 150"/>
              <a:gd name="T1" fmla="*/ 80 h 241"/>
              <a:gd name="T2" fmla="*/ 50 w 150"/>
              <a:gd name="T3" fmla="*/ 80 h 241"/>
              <a:gd name="T4" fmla="*/ 50 w 150"/>
              <a:gd name="T5" fmla="*/ 0 h 241"/>
              <a:gd name="T6" fmla="*/ 0 w 150"/>
              <a:gd name="T7" fmla="*/ 0 h 241"/>
              <a:gd name="T8" fmla="*/ 0 w 150"/>
              <a:gd name="T9" fmla="*/ 241 h 241"/>
              <a:gd name="T10" fmla="*/ 115 w 150"/>
              <a:gd name="T11" fmla="*/ 241 h 241"/>
              <a:gd name="T12" fmla="*/ 150 w 150"/>
              <a:gd name="T13" fmla="*/ 206 h 241"/>
              <a:gd name="T14" fmla="*/ 150 w 150"/>
              <a:gd name="T15" fmla="*/ 115 h 241"/>
              <a:gd name="T16" fmla="*/ 113 w 150"/>
              <a:gd name="T17" fmla="*/ 80 h 241"/>
              <a:gd name="T18" fmla="*/ 100 w 150"/>
              <a:gd name="T19" fmla="*/ 195 h 241"/>
              <a:gd name="T20" fmla="*/ 50 w 150"/>
              <a:gd name="T21" fmla="*/ 195 h 241"/>
              <a:gd name="T22" fmla="*/ 50 w 150"/>
              <a:gd name="T23" fmla="*/ 127 h 241"/>
              <a:gd name="T24" fmla="*/ 100 w 150"/>
              <a:gd name="T25" fmla="*/ 127 h 241"/>
              <a:gd name="T26" fmla="*/ 100 w 150"/>
              <a:gd name="T27" fmla="*/ 195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50" h="241">
                <a:moveTo>
                  <a:pt x="113" y="80"/>
                </a:moveTo>
                <a:lnTo>
                  <a:pt x="50" y="80"/>
                </a:lnTo>
                <a:lnTo>
                  <a:pt x="50" y="0"/>
                </a:lnTo>
                <a:lnTo>
                  <a:pt x="0" y="0"/>
                </a:lnTo>
                <a:lnTo>
                  <a:pt x="0" y="241"/>
                </a:lnTo>
                <a:lnTo>
                  <a:pt x="115" y="241"/>
                </a:lnTo>
                <a:lnTo>
                  <a:pt x="150" y="206"/>
                </a:lnTo>
                <a:lnTo>
                  <a:pt x="150" y="115"/>
                </a:lnTo>
                <a:lnTo>
                  <a:pt x="113" y="80"/>
                </a:lnTo>
                <a:close/>
                <a:moveTo>
                  <a:pt x="100" y="195"/>
                </a:moveTo>
                <a:lnTo>
                  <a:pt x="50" y="195"/>
                </a:lnTo>
                <a:lnTo>
                  <a:pt x="50" y="127"/>
                </a:lnTo>
                <a:lnTo>
                  <a:pt x="100" y="127"/>
                </a:lnTo>
                <a:lnTo>
                  <a:pt x="100" y="195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28" name="Freeform 8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/>
          </xdr:cNvSpPr>
        </xdr:nvSpPr>
        <xdr:spPr bwMode="auto">
          <a:xfrm>
            <a:off x="2292" y="7986"/>
            <a:ext cx="252" cy="241"/>
          </a:xfrm>
          <a:custGeom>
            <a:avLst/>
            <a:gdLst>
              <a:gd name="T0" fmla="*/ 251 w 252"/>
              <a:gd name="T1" fmla="*/ 0 h 241"/>
              <a:gd name="T2" fmla="*/ 200 w 252"/>
              <a:gd name="T3" fmla="*/ 0 h 241"/>
              <a:gd name="T4" fmla="*/ 168 w 252"/>
              <a:gd name="T5" fmla="*/ 96 h 241"/>
              <a:gd name="T6" fmla="*/ 151 w 252"/>
              <a:gd name="T7" fmla="*/ 96 h 241"/>
              <a:gd name="T8" fmla="*/ 151 w 252"/>
              <a:gd name="T9" fmla="*/ 0 h 241"/>
              <a:gd name="T10" fmla="*/ 101 w 252"/>
              <a:gd name="T11" fmla="*/ 0 h 241"/>
              <a:gd name="T12" fmla="*/ 101 w 252"/>
              <a:gd name="T13" fmla="*/ 96 h 241"/>
              <a:gd name="T14" fmla="*/ 83 w 252"/>
              <a:gd name="T15" fmla="*/ 96 h 241"/>
              <a:gd name="T16" fmla="*/ 52 w 252"/>
              <a:gd name="T17" fmla="*/ 0 h 241"/>
              <a:gd name="T18" fmla="*/ 1 w 252"/>
              <a:gd name="T19" fmla="*/ 0 h 241"/>
              <a:gd name="T20" fmla="*/ 42 w 252"/>
              <a:gd name="T21" fmla="*/ 118 h 241"/>
              <a:gd name="T22" fmla="*/ 0 w 252"/>
              <a:gd name="T23" fmla="*/ 241 h 241"/>
              <a:gd name="T24" fmla="*/ 52 w 252"/>
              <a:gd name="T25" fmla="*/ 241 h 241"/>
              <a:gd name="T26" fmla="*/ 84 w 252"/>
              <a:gd name="T27" fmla="*/ 143 h 241"/>
              <a:gd name="T28" fmla="*/ 101 w 252"/>
              <a:gd name="T29" fmla="*/ 143 h 241"/>
              <a:gd name="T30" fmla="*/ 101 w 252"/>
              <a:gd name="T31" fmla="*/ 241 h 241"/>
              <a:gd name="T32" fmla="*/ 151 w 252"/>
              <a:gd name="T33" fmla="*/ 241 h 241"/>
              <a:gd name="T34" fmla="*/ 151 w 252"/>
              <a:gd name="T35" fmla="*/ 143 h 241"/>
              <a:gd name="T36" fmla="*/ 168 w 252"/>
              <a:gd name="T37" fmla="*/ 143 h 241"/>
              <a:gd name="T38" fmla="*/ 200 w 252"/>
              <a:gd name="T39" fmla="*/ 241 h 241"/>
              <a:gd name="T40" fmla="*/ 252 w 252"/>
              <a:gd name="T41" fmla="*/ 241 h 241"/>
              <a:gd name="T42" fmla="*/ 210 w 252"/>
              <a:gd name="T43" fmla="*/ 118 h 241"/>
              <a:gd name="T44" fmla="*/ 251 w 252"/>
              <a:gd name="T45" fmla="*/ 0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52" h="241">
                <a:moveTo>
                  <a:pt x="251" y="0"/>
                </a:moveTo>
                <a:lnTo>
                  <a:pt x="200" y="0"/>
                </a:lnTo>
                <a:lnTo>
                  <a:pt x="168" y="96"/>
                </a:lnTo>
                <a:lnTo>
                  <a:pt x="151" y="96"/>
                </a:lnTo>
                <a:lnTo>
                  <a:pt x="151" y="0"/>
                </a:lnTo>
                <a:lnTo>
                  <a:pt x="101" y="0"/>
                </a:lnTo>
                <a:lnTo>
                  <a:pt x="101" y="96"/>
                </a:lnTo>
                <a:lnTo>
                  <a:pt x="83" y="96"/>
                </a:lnTo>
                <a:lnTo>
                  <a:pt x="52" y="0"/>
                </a:lnTo>
                <a:lnTo>
                  <a:pt x="1" y="0"/>
                </a:lnTo>
                <a:lnTo>
                  <a:pt x="42" y="118"/>
                </a:lnTo>
                <a:lnTo>
                  <a:pt x="0" y="241"/>
                </a:lnTo>
                <a:lnTo>
                  <a:pt x="52" y="241"/>
                </a:lnTo>
                <a:lnTo>
                  <a:pt x="84" y="143"/>
                </a:lnTo>
                <a:lnTo>
                  <a:pt x="101" y="143"/>
                </a:lnTo>
                <a:lnTo>
                  <a:pt x="101" y="241"/>
                </a:lnTo>
                <a:lnTo>
                  <a:pt x="151" y="241"/>
                </a:lnTo>
                <a:lnTo>
                  <a:pt x="151" y="143"/>
                </a:lnTo>
                <a:lnTo>
                  <a:pt x="168" y="143"/>
                </a:lnTo>
                <a:lnTo>
                  <a:pt x="200" y="241"/>
                </a:lnTo>
                <a:lnTo>
                  <a:pt x="252" y="241"/>
                </a:lnTo>
                <a:lnTo>
                  <a:pt x="210" y="118"/>
                </a:lnTo>
                <a:lnTo>
                  <a:pt x="251" y="0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29" name="Freeform 9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/>
          </xdr:cNvSpPr>
        </xdr:nvSpPr>
        <xdr:spPr bwMode="auto">
          <a:xfrm>
            <a:off x="2939" y="7986"/>
            <a:ext cx="161" cy="241"/>
          </a:xfrm>
          <a:custGeom>
            <a:avLst/>
            <a:gdLst>
              <a:gd name="T0" fmla="*/ 112 w 161"/>
              <a:gd name="T1" fmla="*/ 98 h 241"/>
              <a:gd name="T2" fmla="*/ 50 w 161"/>
              <a:gd name="T3" fmla="*/ 98 h 241"/>
              <a:gd name="T4" fmla="*/ 50 w 161"/>
              <a:gd name="T5" fmla="*/ 0 h 241"/>
              <a:gd name="T6" fmla="*/ 0 w 161"/>
              <a:gd name="T7" fmla="*/ 0 h 241"/>
              <a:gd name="T8" fmla="*/ 0 w 161"/>
              <a:gd name="T9" fmla="*/ 75 h 241"/>
              <a:gd name="T10" fmla="*/ 0 w 161"/>
              <a:gd name="T11" fmla="*/ 163 h 241"/>
              <a:gd name="T12" fmla="*/ 0 w 161"/>
              <a:gd name="T13" fmla="*/ 241 h 241"/>
              <a:gd name="T14" fmla="*/ 50 w 161"/>
              <a:gd name="T15" fmla="*/ 241 h 241"/>
              <a:gd name="T16" fmla="*/ 50 w 161"/>
              <a:gd name="T17" fmla="*/ 145 h 241"/>
              <a:gd name="T18" fmla="*/ 112 w 161"/>
              <a:gd name="T19" fmla="*/ 145 h 241"/>
              <a:gd name="T20" fmla="*/ 112 w 161"/>
              <a:gd name="T21" fmla="*/ 241 h 241"/>
              <a:gd name="T22" fmla="*/ 161 w 161"/>
              <a:gd name="T23" fmla="*/ 241 h 241"/>
              <a:gd name="T24" fmla="*/ 161 w 161"/>
              <a:gd name="T25" fmla="*/ 0 h 241"/>
              <a:gd name="T26" fmla="*/ 112 w 161"/>
              <a:gd name="T27" fmla="*/ 0 h 241"/>
              <a:gd name="T28" fmla="*/ 112 w 161"/>
              <a:gd name="T29" fmla="*/ 98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161" h="241">
                <a:moveTo>
                  <a:pt x="112" y="98"/>
                </a:moveTo>
                <a:lnTo>
                  <a:pt x="50" y="98"/>
                </a:lnTo>
                <a:lnTo>
                  <a:pt x="50" y="0"/>
                </a:lnTo>
                <a:lnTo>
                  <a:pt x="0" y="0"/>
                </a:lnTo>
                <a:lnTo>
                  <a:pt x="0" y="75"/>
                </a:lnTo>
                <a:lnTo>
                  <a:pt x="0" y="163"/>
                </a:lnTo>
                <a:lnTo>
                  <a:pt x="0" y="241"/>
                </a:lnTo>
                <a:lnTo>
                  <a:pt x="50" y="241"/>
                </a:lnTo>
                <a:lnTo>
                  <a:pt x="50" y="145"/>
                </a:lnTo>
                <a:lnTo>
                  <a:pt x="112" y="145"/>
                </a:lnTo>
                <a:lnTo>
                  <a:pt x="112" y="241"/>
                </a:lnTo>
                <a:lnTo>
                  <a:pt x="161" y="241"/>
                </a:lnTo>
                <a:lnTo>
                  <a:pt x="161" y="0"/>
                </a:lnTo>
                <a:lnTo>
                  <a:pt x="112" y="0"/>
                </a:lnTo>
                <a:lnTo>
                  <a:pt x="112" y="98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0" name="Freeform 10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/>
          </xdr:cNvSpPr>
        </xdr:nvSpPr>
        <xdr:spPr bwMode="auto">
          <a:xfrm>
            <a:off x="936" y="7986"/>
            <a:ext cx="112" cy="241"/>
          </a:xfrm>
          <a:custGeom>
            <a:avLst/>
            <a:gdLst>
              <a:gd name="T0" fmla="*/ 0 w 112"/>
              <a:gd name="T1" fmla="*/ 241 h 241"/>
              <a:gd name="T2" fmla="*/ 49 w 112"/>
              <a:gd name="T3" fmla="*/ 241 h 241"/>
              <a:gd name="T4" fmla="*/ 49 w 112"/>
              <a:gd name="T5" fmla="*/ 46 h 241"/>
              <a:gd name="T6" fmla="*/ 112 w 112"/>
              <a:gd name="T7" fmla="*/ 46 h 241"/>
              <a:gd name="T8" fmla="*/ 112 w 112"/>
              <a:gd name="T9" fmla="*/ 0 h 241"/>
              <a:gd name="T10" fmla="*/ 0 w 112"/>
              <a:gd name="T11" fmla="*/ 0 h 241"/>
              <a:gd name="T12" fmla="*/ 0 w 112"/>
              <a:gd name="T13" fmla="*/ 241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12" h="241">
                <a:moveTo>
                  <a:pt x="0" y="241"/>
                </a:moveTo>
                <a:lnTo>
                  <a:pt x="49" y="241"/>
                </a:lnTo>
                <a:lnTo>
                  <a:pt x="49" y="46"/>
                </a:lnTo>
                <a:lnTo>
                  <a:pt x="112" y="46"/>
                </a:lnTo>
                <a:lnTo>
                  <a:pt x="112" y="0"/>
                </a:lnTo>
                <a:lnTo>
                  <a:pt x="0" y="0"/>
                </a:lnTo>
                <a:lnTo>
                  <a:pt x="0" y="241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1" name="Freeform 11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/>
          </xdr:cNvSpPr>
        </xdr:nvSpPr>
        <xdr:spPr bwMode="auto">
          <a:xfrm>
            <a:off x="1537" y="7986"/>
            <a:ext cx="150" cy="241"/>
          </a:xfrm>
          <a:custGeom>
            <a:avLst/>
            <a:gdLst>
              <a:gd name="T0" fmla="*/ 0 w 150"/>
              <a:gd name="T1" fmla="*/ 46 h 241"/>
              <a:gd name="T2" fmla="*/ 50 w 150"/>
              <a:gd name="T3" fmla="*/ 46 h 241"/>
              <a:gd name="T4" fmla="*/ 50 w 150"/>
              <a:gd name="T5" fmla="*/ 241 h 241"/>
              <a:gd name="T6" fmla="*/ 100 w 150"/>
              <a:gd name="T7" fmla="*/ 241 h 241"/>
              <a:gd name="T8" fmla="*/ 100 w 150"/>
              <a:gd name="T9" fmla="*/ 46 h 241"/>
              <a:gd name="T10" fmla="*/ 150 w 150"/>
              <a:gd name="T11" fmla="*/ 46 h 241"/>
              <a:gd name="T12" fmla="*/ 150 w 150"/>
              <a:gd name="T13" fmla="*/ 0 h 241"/>
              <a:gd name="T14" fmla="*/ 0 w 150"/>
              <a:gd name="T15" fmla="*/ 0 h 241"/>
              <a:gd name="T16" fmla="*/ 0 w 150"/>
              <a:gd name="T17" fmla="*/ 46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0" h="241">
                <a:moveTo>
                  <a:pt x="0" y="46"/>
                </a:moveTo>
                <a:lnTo>
                  <a:pt x="50" y="46"/>
                </a:lnTo>
                <a:lnTo>
                  <a:pt x="50" y="241"/>
                </a:lnTo>
                <a:lnTo>
                  <a:pt x="100" y="241"/>
                </a:lnTo>
                <a:lnTo>
                  <a:pt x="100" y="46"/>
                </a:lnTo>
                <a:lnTo>
                  <a:pt x="150" y="46"/>
                </a:lnTo>
                <a:lnTo>
                  <a:pt x="150" y="0"/>
                </a:lnTo>
                <a:lnTo>
                  <a:pt x="0" y="0"/>
                </a:lnTo>
                <a:lnTo>
                  <a:pt x="0" y="46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2" name="Freeform 12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EditPoints="1"/>
          </xdr:cNvSpPr>
        </xdr:nvSpPr>
        <xdr:spPr bwMode="auto">
          <a:xfrm>
            <a:off x="417" y="7986"/>
            <a:ext cx="149" cy="241"/>
          </a:xfrm>
          <a:custGeom>
            <a:avLst/>
            <a:gdLst>
              <a:gd name="T0" fmla="*/ 0 w 149"/>
              <a:gd name="T1" fmla="*/ 0 h 241"/>
              <a:gd name="T2" fmla="*/ 0 w 149"/>
              <a:gd name="T3" fmla="*/ 241 h 241"/>
              <a:gd name="T4" fmla="*/ 49 w 149"/>
              <a:gd name="T5" fmla="*/ 241 h 241"/>
              <a:gd name="T6" fmla="*/ 49 w 149"/>
              <a:gd name="T7" fmla="*/ 180 h 241"/>
              <a:gd name="T8" fmla="*/ 112 w 149"/>
              <a:gd name="T9" fmla="*/ 180 h 241"/>
              <a:gd name="T10" fmla="*/ 149 w 149"/>
              <a:gd name="T11" fmla="*/ 145 h 241"/>
              <a:gd name="T12" fmla="*/ 149 w 149"/>
              <a:gd name="T13" fmla="*/ 34 h 241"/>
              <a:gd name="T14" fmla="*/ 114 w 149"/>
              <a:gd name="T15" fmla="*/ 0 h 241"/>
              <a:gd name="T16" fmla="*/ 0 w 149"/>
              <a:gd name="T17" fmla="*/ 0 h 241"/>
              <a:gd name="T18" fmla="*/ 99 w 149"/>
              <a:gd name="T19" fmla="*/ 132 h 241"/>
              <a:gd name="T20" fmla="*/ 49 w 149"/>
              <a:gd name="T21" fmla="*/ 132 h 241"/>
              <a:gd name="T22" fmla="*/ 49 w 149"/>
              <a:gd name="T23" fmla="*/ 46 h 241"/>
              <a:gd name="T24" fmla="*/ 99 w 149"/>
              <a:gd name="T25" fmla="*/ 46 h 241"/>
              <a:gd name="T26" fmla="*/ 99 w 149"/>
              <a:gd name="T27" fmla="*/ 132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49" h="241">
                <a:moveTo>
                  <a:pt x="0" y="0"/>
                </a:moveTo>
                <a:lnTo>
                  <a:pt x="0" y="241"/>
                </a:lnTo>
                <a:lnTo>
                  <a:pt x="49" y="241"/>
                </a:lnTo>
                <a:lnTo>
                  <a:pt x="49" y="180"/>
                </a:lnTo>
                <a:lnTo>
                  <a:pt x="112" y="180"/>
                </a:lnTo>
                <a:lnTo>
                  <a:pt x="149" y="145"/>
                </a:lnTo>
                <a:lnTo>
                  <a:pt x="149" y="34"/>
                </a:lnTo>
                <a:lnTo>
                  <a:pt x="114" y="0"/>
                </a:lnTo>
                <a:lnTo>
                  <a:pt x="0" y="0"/>
                </a:lnTo>
                <a:close/>
                <a:moveTo>
                  <a:pt x="99" y="132"/>
                </a:moveTo>
                <a:lnTo>
                  <a:pt x="49" y="132"/>
                </a:lnTo>
                <a:lnTo>
                  <a:pt x="49" y="46"/>
                </a:lnTo>
                <a:lnTo>
                  <a:pt x="99" y="46"/>
                </a:lnTo>
                <a:lnTo>
                  <a:pt x="99" y="132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3" name="Freeform 13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/>
          </xdr:cNvSpPr>
        </xdr:nvSpPr>
        <xdr:spPr bwMode="auto">
          <a:xfrm>
            <a:off x="2066" y="7986"/>
            <a:ext cx="164" cy="241"/>
          </a:xfrm>
          <a:custGeom>
            <a:avLst/>
            <a:gdLst>
              <a:gd name="T0" fmla="*/ 127 w 164"/>
              <a:gd name="T1" fmla="*/ 117 h 241"/>
              <a:gd name="T2" fmla="*/ 162 w 164"/>
              <a:gd name="T3" fmla="*/ 0 h 241"/>
              <a:gd name="T4" fmla="*/ 114 w 164"/>
              <a:gd name="T5" fmla="*/ 0 h 241"/>
              <a:gd name="T6" fmla="*/ 86 w 164"/>
              <a:gd name="T7" fmla="*/ 91 h 241"/>
              <a:gd name="T8" fmla="*/ 77 w 164"/>
              <a:gd name="T9" fmla="*/ 91 h 241"/>
              <a:gd name="T10" fmla="*/ 50 w 164"/>
              <a:gd name="T11" fmla="*/ 0 h 241"/>
              <a:gd name="T12" fmla="*/ 0 w 164"/>
              <a:gd name="T13" fmla="*/ 0 h 241"/>
              <a:gd name="T14" fmla="*/ 36 w 164"/>
              <a:gd name="T15" fmla="*/ 118 h 241"/>
              <a:gd name="T16" fmla="*/ 0 w 164"/>
              <a:gd name="T17" fmla="*/ 241 h 241"/>
              <a:gd name="T18" fmla="*/ 49 w 164"/>
              <a:gd name="T19" fmla="*/ 241 h 241"/>
              <a:gd name="T20" fmla="*/ 77 w 164"/>
              <a:gd name="T21" fmla="*/ 146 h 241"/>
              <a:gd name="T22" fmla="*/ 85 w 164"/>
              <a:gd name="T23" fmla="*/ 146 h 241"/>
              <a:gd name="T24" fmla="*/ 115 w 164"/>
              <a:gd name="T25" fmla="*/ 241 h 241"/>
              <a:gd name="T26" fmla="*/ 164 w 164"/>
              <a:gd name="T27" fmla="*/ 241 h 241"/>
              <a:gd name="T28" fmla="*/ 127 w 164"/>
              <a:gd name="T29" fmla="*/ 117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164" h="241">
                <a:moveTo>
                  <a:pt x="127" y="117"/>
                </a:moveTo>
                <a:lnTo>
                  <a:pt x="162" y="0"/>
                </a:lnTo>
                <a:lnTo>
                  <a:pt x="114" y="0"/>
                </a:lnTo>
                <a:lnTo>
                  <a:pt x="86" y="91"/>
                </a:lnTo>
                <a:lnTo>
                  <a:pt x="77" y="91"/>
                </a:lnTo>
                <a:lnTo>
                  <a:pt x="50" y="0"/>
                </a:lnTo>
                <a:lnTo>
                  <a:pt x="0" y="0"/>
                </a:lnTo>
                <a:lnTo>
                  <a:pt x="36" y="118"/>
                </a:lnTo>
                <a:lnTo>
                  <a:pt x="0" y="241"/>
                </a:lnTo>
                <a:lnTo>
                  <a:pt x="49" y="241"/>
                </a:lnTo>
                <a:lnTo>
                  <a:pt x="77" y="146"/>
                </a:lnTo>
                <a:lnTo>
                  <a:pt x="85" y="146"/>
                </a:lnTo>
                <a:lnTo>
                  <a:pt x="115" y="241"/>
                </a:lnTo>
                <a:lnTo>
                  <a:pt x="164" y="241"/>
                </a:lnTo>
                <a:lnTo>
                  <a:pt x="127" y="117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4" name="Freeform 14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EditPoints="1"/>
          </xdr:cNvSpPr>
        </xdr:nvSpPr>
        <xdr:spPr bwMode="auto">
          <a:xfrm>
            <a:off x="594" y="7986"/>
            <a:ext cx="158" cy="241"/>
          </a:xfrm>
          <a:custGeom>
            <a:avLst/>
            <a:gdLst>
              <a:gd name="T0" fmla="*/ 35 w 158"/>
              <a:gd name="T1" fmla="*/ 0 h 241"/>
              <a:gd name="T2" fmla="*/ 0 w 158"/>
              <a:gd name="T3" fmla="*/ 34 h 241"/>
              <a:gd name="T4" fmla="*/ 0 w 158"/>
              <a:gd name="T5" fmla="*/ 206 h 241"/>
              <a:gd name="T6" fmla="*/ 35 w 158"/>
              <a:gd name="T7" fmla="*/ 241 h 241"/>
              <a:gd name="T8" fmla="*/ 123 w 158"/>
              <a:gd name="T9" fmla="*/ 241 h 241"/>
              <a:gd name="T10" fmla="*/ 158 w 158"/>
              <a:gd name="T11" fmla="*/ 206 h 241"/>
              <a:gd name="T12" fmla="*/ 158 w 158"/>
              <a:gd name="T13" fmla="*/ 34 h 241"/>
              <a:gd name="T14" fmla="*/ 123 w 158"/>
              <a:gd name="T15" fmla="*/ 0 h 241"/>
              <a:gd name="T16" fmla="*/ 35 w 158"/>
              <a:gd name="T17" fmla="*/ 0 h 241"/>
              <a:gd name="T18" fmla="*/ 108 w 158"/>
              <a:gd name="T19" fmla="*/ 195 h 241"/>
              <a:gd name="T20" fmla="*/ 50 w 158"/>
              <a:gd name="T21" fmla="*/ 195 h 241"/>
              <a:gd name="T22" fmla="*/ 50 w 158"/>
              <a:gd name="T23" fmla="*/ 46 h 241"/>
              <a:gd name="T24" fmla="*/ 108 w 158"/>
              <a:gd name="T25" fmla="*/ 46 h 241"/>
              <a:gd name="T26" fmla="*/ 108 w 158"/>
              <a:gd name="T27" fmla="*/ 195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58" h="241">
                <a:moveTo>
                  <a:pt x="35" y="0"/>
                </a:moveTo>
                <a:lnTo>
                  <a:pt x="0" y="34"/>
                </a:lnTo>
                <a:lnTo>
                  <a:pt x="0" y="206"/>
                </a:lnTo>
                <a:lnTo>
                  <a:pt x="35" y="241"/>
                </a:lnTo>
                <a:lnTo>
                  <a:pt x="123" y="241"/>
                </a:lnTo>
                <a:lnTo>
                  <a:pt x="158" y="206"/>
                </a:lnTo>
                <a:lnTo>
                  <a:pt x="158" y="34"/>
                </a:lnTo>
                <a:lnTo>
                  <a:pt x="123" y="0"/>
                </a:lnTo>
                <a:lnTo>
                  <a:pt x="35" y="0"/>
                </a:lnTo>
                <a:close/>
                <a:moveTo>
                  <a:pt x="108" y="195"/>
                </a:moveTo>
                <a:lnTo>
                  <a:pt x="50" y="195"/>
                </a:lnTo>
                <a:lnTo>
                  <a:pt x="50" y="46"/>
                </a:lnTo>
                <a:lnTo>
                  <a:pt x="108" y="46"/>
                </a:lnTo>
                <a:lnTo>
                  <a:pt x="108" y="195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5" name="Freeform 15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/>
          </xdr:cNvSpPr>
        </xdr:nvSpPr>
        <xdr:spPr bwMode="auto">
          <a:xfrm>
            <a:off x="784" y="7986"/>
            <a:ext cx="120" cy="241"/>
          </a:xfrm>
          <a:custGeom>
            <a:avLst/>
            <a:gdLst>
              <a:gd name="T0" fmla="*/ 50 w 120"/>
              <a:gd name="T1" fmla="*/ 46 h 241"/>
              <a:gd name="T2" fmla="*/ 120 w 120"/>
              <a:gd name="T3" fmla="*/ 46 h 241"/>
              <a:gd name="T4" fmla="*/ 120 w 120"/>
              <a:gd name="T5" fmla="*/ 0 h 241"/>
              <a:gd name="T6" fmla="*/ 34 w 120"/>
              <a:gd name="T7" fmla="*/ 0 h 241"/>
              <a:gd name="T8" fmla="*/ 0 w 120"/>
              <a:gd name="T9" fmla="*/ 34 h 241"/>
              <a:gd name="T10" fmla="*/ 0 w 120"/>
              <a:gd name="T11" fmla="*/ 206 h 241"/>
              <a:gd name="T12" fmla="*/ 34 w 120"/>
              <a:gd name="T13" fmla="*/ 241 h 241"/>
              <a:gd name="T14" fmla="*/ 120 w 120"/>
              <a:gd name="T15" fmla="*/ 241 h 241"/>
              <a:gd name="T16" fmla="*/ 120 w 120"/>
              <a:gd name="T17" fmla="*/ 195 h 241"/>
              <a:gd name="T18" fmla="*/ 50 w 120"/>
              <a:gd name="T19" fmla="*/ 195 h 241"/>
              <a:gd name="T20" fmla="*/ 50 w 120"/>
              <a:gd name="T21" fmla="*/ 46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20" h="241">
                <a:moveTo>
                  <a:pt x="50" y="46"/>
                </a:moveTo>
                <a:lnTo>
                  <a:pt x="120" y="46"/>
                </a:lnTo>
                <a:lnTo>
                  <a:pt x="120" y="0"/>
                </a:lnTo>
                <a:lnTo>
                  <a:pt x="34" y="0"/>
                </a:lnTo>
                <a:lnTo>
                  <a:pt x="0" y="34"/>
                </a:lnTo>
                <a:lnTo>
                  <a:pt x="0" y="206"/>
                </a:lnTo>
                <a:lnTo>
                  <a:pt x="34" y="241"/>
                </a:lnTo>
                <a:lnTo>
                  <a:pt x="120" y="241"/>
                </a:lnTo>
                <a:lnTo>
                  <a:pt x="120" y="195"/>
                </a:lnTo>
                <a:lnTo>
                  <a:pt x="50" y="195"/>
                </a:lnTo>
                <a:lnTo>
                  <a:pt x="50" y="46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6" name="Freeform 16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>
            <a:spLocks noEditPoints="1"/>
          </xdr:cNvSpPr>
        </xdr:nvSpPr>
        <xdr:spPr bwMode="auto">
          <a:xfrm>
            <a:off x="1063" y="7986"/>
            <a:ext cx="159" cy="241"/>
          </a:xfrm>
          <a:custGeom>
            <a:avLst/>
            <a:gdLst>
              <a:gd name="T0" fmla="*/ 35 w 159"/>
              <a:gd name="T1" fmla="*/ 0 h 241"/>
              <a:gd name="T2" fmla="*/ 0 w 159"/>
              <a:gd name="T3" fmla="*/ 34 h 241"/>
              <a:gd name="T4" fmla="*/ 0 w 159"/>
              <a:gd name="T5" fmla="*/ 206 h 241"/>
              <a:gd name="T6" fmla="*/ 35 w 159"/>
              <a:gd name="T7" fmla="*/ 241 h 241"/>
              <a:gd name="T8" fmla="*/ 124 w 159"/>
              <a:gd name="T9" fmla="*/ 241 h 241"/>
              <a:gd name="T10" fmla="*/ 159 w 159"/>
              <a:gd name="T11" fmla="*/ 206 h 241"/>
              <a:gd name="T12" fmla="*/ 159 w 159"/>
              <a:gd name="T13" fmla="*/ 34 h 241"/>
              <a:gd name="T14" fmla="*/ 124 w 159"/>
              <a:gd name="T15" fmla="*/ 0 h 241"/>
              <a:gd name="T16" fmla="*/ 35 w 159"/>
              <a:gd name="T17" fmla="*/ 0 h 241"/>
              <a:gd name="T18" fmla="*/ 109 w 159"/>
              <a:gd name="T19" fmla="*/ 195 h 241"/>
              <a:gd name="T20" fmla="*/ 50 w 159"/>
              <a:gd name="T21" fmla="*/ 195 h 241"/>
              <a:gd name="T22" fmla="*/ 50 w 159"/>
              <a:gd name="T23" fmla="*/ 46 h 241"/>
              <a:gd name="T24" fmla="*/ 109 w 159"/>
              <a:gd name="T25" fmla="*/ 46 h 241"/>
              <a:gd name="T26" fmla="*/ 109 w 159"/>
              <a:gd name="T27" fmla="*/ 195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59" h="241">
                <a:moveTo>
                  <a:pt x="35" y="0"/>
                </a:moveTo>
                <a:lnTo>
                  <a:pt x="0" y="34"/>
                </a:lnTo>
                <a:lnTo>
                  <a:pt x="0" y="206"/>
                </a:lnTo>
                <a:lnTo>
                  <a:pt x="35" y="241"/>
                </a:lnTo>
                <a:lnTo>
                  <a:pt x="124" y="241"/>
                </a:lnTo>
                <a:lnTo>
                  <a:pt x="159" y="206"/>
                </a:lnTo>
                <a:lnTo>
                  <a:pt x="159" y="34"/>
                </a:lnTo>
                <a:lnTo>
                  <a:pt x="124" y="0"/>
                </a:lnTo>
                <a:lnTo>
                  <a:pt x="35" y="0"/>
                </a:lnTo>
                <a:close/>
                <a:moveTo>
                  <a:pt x="109" y="195"/>
                </a:moveTo>
                <a:lnTo>
                  <a:pt x="50" y="195"/>
                </a:lnTo>
                <a:lnTo>
                  <a:pt x="50" y="46"/>
                </a:lnTo>
                <a:lnTo>
                  <a:pt x="109" y="46"/>
                </a:lnTo>
                <a:lnTo>
                  <a:pt x="109" y="195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7" name="Freeform 17"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SpPr>
            <a:spLocks noEditPoints="1"/>
          </xdr:cNvSpPr>
        </xdr:nvSpPr>
        <xdr:spPr bwMode="auto">
          <a:xfrm>
            <a:off x="1712" y="7986"/>
            <a:ext cx="149" cy="241"/>
          </a:xfrm>
          <a:custGeom>
            <a:avLst/>
            <a:gdLst>
              <a:gd name="T0" fmla="*/ 0 w 149"/>
              <a:gd name="T1" fmla="*/ 0 h 241"/>
              <a:gd name="T2" fmla="*/ 0 w 149"/>
              <a:gd name="T3" fmla="*/ 241 h 241"/>
              <a:gd name="T4" fmla="*/ 49 w 149"/>
              <a:gd name="T5" fmla="*/ 241 h 241"/>
              <a:gd name="T6" fmla="*/ 49 w 149"/>
              <a:gd name="T7" fmla="*/ 180 h 241"/>
              <a:gd name="T8" fmla="*/ 112 w 149"/>
              <a:gd name="T9" fmla="*/ 180 h 241"/>
              <a:gd name="T10" fmla="*/ 149 w 149"/>
              <a:gd name="T11" fmla="*/ 145 h 241"/>
              <a:gd name="T12" fmla="*/ 149 w 149"/>
              <a:gd name="T13" fmla="*/ 34 h 241"/>
              <a:gd name="T14" fmla="*/ 113 w 149"/>
              <a:gd name="T15" fmla="*/ 0 h 241"/>
              <a:gd name="T16" fmla="*/ 0 w 149"/>
              <a:gd name="T17" fmla="*/ 0 h 241"/>
              <a:gd name="T18" fmla="*/ 99 w 149"/>
              <a:gd name="T19" fmla="*/ 132 h 241"/>
              <a:gd name="T20" fmla="*/ 49 w 149"/>
              <a:gd name="T21" fmla="*/ 132 h 241"/>
              <a:gd name="T22" fmla="*/ 49 w 149"/>
              <a:gd name="T23" fmla="*/ 46 h 241"/>
              <a:gd name="T24" fmla="*/ 99 w 149"/>
              <a:gd name="T25" fmla="*/ 46 h 241"/>
              <a:gd name="T26" fmla="*/ 99 w 149"/>
              <a:gd name="T27" fmla="*/ 132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49" h="241">
                <a:moveTo>
                  <a:pt x="0" y="0"/>
                </a:moveTo>
                <a:lnTo>
                  <a:pt x="0" y="241"/>
                </a:lnTo>
                <a:lnTo>
                  <a:pt x="49" y="241"/>
                </a:lnTo>
                <a:lnTo>
                  <a:pt x="49" y="180"/>
                </a:lnTo>
                <a:lnTo>
                  <a:pt x="112" y="180"/>
                </a:lnTo>
                <a:lnTo>
                  <a:pt x="149" y="145"/>
                </a:lnTo>
                <a:lnTo>
                  <a:pt x="149" y="34"/>
                </a:lnTo>
                <a:lnTo>
                  <a:pt x="113" y="0"/>
                </a:lnTo>
                <a:lnTo>
                  <a:pt x="0" y="0"/>
                </a:lnTo>
                <a:close/>
                <a:moveTo>
                  <a:pt x="99" y="132"/>
                </a:moveTo>
                <a:lnTo>
                  <a:pt x="49" y="132"/>
                </a:lnTo>
                <a:lnTo>
                  <a:pt x="49" y="46"/>
                </a:lnTo>
                <a:lnTo>
                  <a:pt x="99" y="46"/>
                </a:lnTo>
                <a:lnTo>
                  <a:pt x="99" y="132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8" name="Freeform 18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SpPr>
            <a:spLocks/>
          </xdr:cNvSpPr>
        </xdr:nvSpPr>
        <xdr:spPr bwMode="auto">
          <a:xfrm>
            <a:off x="1253" y="7986"/>
            <a:ext cx="120" cy="241"/>
          </a:xfrm>
          <a:custGeom>
            <a:avLst/>
            <a:gdLst>
              <a:gd name="T0" fmla="*/ 50 w 120"/>
              <a:gd name="T1" fmla="*/ 46 h 241"/>
              <a:gd name="T2" fmla="*/ 120 w 120"/>
              <a:gd name="T3" fmla="*/ 46 h 241"/>
              <a:gd name="T4" fmla="*/ 120 w 120"/>
              <a:gd name="T5" fmla="*/ 0 h 241"/>
              <a:gd name="T6" fmla="*/ 35 w 120"/>
              <a:gd name="T7" fmla="*/ 0 h 241"/>
              <a:gd name="T8" fmla="*/ 0 w 120"/>
              <a:gd name="T9" fmla="*/ 34 h 241"/>
              <a:gd name="T10" fmla="*/ 0 w 120"/>
              <a:gd name="T11" fmla="*/ 206 h 241"/>
              <a:gd name="T12" fmla="*/ 35 w 120"/>
              <a:gd name="T13" fmla="*/ 241 h 241"/>
              <a:gd name="T14" fmla="*/ 120 w 120"/>
              <a:gd name="T15" fmla="*/ 241 h 241"/>
              <a:gd name="T16" fmla="*/ 120 w 120"/>
              <a:gd name="T17" fmla="*/ 195 h 241"/>
              <a:gd name="T18" fmla="*/ 50 w 120"/>
              <a:gd name="T19" fmla="*/ 195 h 241"/>
              <a:gd name="T20" fmla="*/ 50 w 120"/>
              <a:gd name="T21" fmla="*/ 46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20" h="241">
                <a:moveTo>
                  <a:pt x="50" y="46"/>
                </a:moveTo>
                <a:lnTo>
                  <a:pt x="120" y="46"/>
                </a:lnTo>
                <a:lnTo>
                  <a:pt x="120" y="0"/>
                </a:lnTo>
                <a:lnTo>
                  <a:pt x="35" y="0"/>
                </a:lnTo>
                <a:lnTo>
                  <a:pt x="0" y="34"/>
                </a:lnTo>
                <a:lnTo>
                  <a:pt x="0" y="206"/>
                </a:lnTo>
                <a:lnTo>
                  <a:pt x="35" y="241"/>
                </a:lnTo>
                <a:lnTo>
                  <a:pt x="120" y="241"/>
                </a:lnTo>
                <a:lnTo>
                  <a:pt x="120" y="195"/>
                </a:lnTo>
                <a:lnTo>
                  <a:pt x="50" y="195"/>
                </a:lnTo>
                <a:lnTo>
                  <a:pt x="50" y="46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9" name="Freeform 19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SpPr>
            <a:spLocks/>
          </xdr:cNvSpPr>
        </xdr:nvSpPr>
        <xdr:spPr bwMode="auto">
          <a:xfrm>
            <a:off x="1398" y="7986"/>
            <a:ext cx="121" cy="241"/>
          </a:xfrm>
          <a:custGeom>
            <a:avLst/>
            <a:gdLst>
              <a:gd name="T0" fmla="*/ 49 w 121"/>
              <a:gd name="T1" fmla="*/ 46 h 241"/>
              <a:gd name="T2" fmla="*/ 120 w 121"/>
              <a:gd name="T3" fmla="*/ 46 h 241"/>
              <a:gd name="T4" fmla="*/ 120 w 121"/>
              <a:gd name="T5" fmla="*/ 0 h 241"/>
              <a:gd name="T6" fmla="*/ 34 w 121"/>
              <a:gd name="T7" fmla="*/ 0 h 241"/>
              <a:gd name="T8" fmla="*/ 0 w 121"/>
              <a:gd name="T9" fmla="*/ 34 h 241"/>
              <a:gd name="T10" fmla="*/ 0 w 121"/>
              <a:gd name="T11" fmla="*/ 206 h 241"/>
              <a:gd name="T12" fmla="*/ 34 w 121"/>
              <a:gd name="T13" fmla="*/ 241 h 241"/>
              <a:gd name="T14" fmla="*/ 121 w 121"/>
              <a:gd name="T15" fmla="*/ 241 h 241"/>
              <a:gd name="T16" fmla="*/ 121 w 121"/>
              <a:gd name="T17" fmla="*/ 195 h 241"/>
              <a:gd name="T18" fmla="*/ 49 w 121"/>
              <a:gd name="T19" fmla="*/ 195 h 241"/>
              <a:gd name="T20" fmla="*/ 49 w 121"/>
              <a:gd name="T21" fmla="*/ 46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21" h="241">
                <a:moveTo>
                  <a:pt x="49" y="46"/>
                </a:moveTo>
                <a:lnTo>
                  <a:pt x="120" y="46"/>
                </a:lnTo>
                <a:lnTo>
                  <a:pt x="120" y="0"/>
                </a:lnTo>
                <a:lnTo>
                  <a:pt x="34" y="0"/>
                </a:lnTo>
                <a:lnTo>
                  <a:pt x="0" y="34"/>
                </a:lnTo>
                <a:lnTo>
                  <a:pt x="0" y="206"/>
                </a:lnTo>
                <a:lnTo>
                  <a:pt x="34" y="241"/>
                </a:lnTo>
                <a:lnTo>
                  <a:pt x="121" y="241"/>
                </a:lnTo>
                <a:lnTo>
                  <a:pt x="121" y="195"/>
                </a:lnTo>
                <a:lnTo>
                  <a:pt x="49" y="195"/>
                </a:lnTo>
                <a:lnTo>
                  <a:pt x="49" y="46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40" name="Freeform 20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SpPr>
            <a:spLocks noEditPoints="1"/>
          </xdr:cNvSpPr>
        </xdr:nvSpPr>
        <xdr:spPr bwMode="auto">
          <a:xfrm>
            <a:off x="1870" y="7986"/>
            <a:ext cx="185" cy="241"/>
          </a:xfrm>
          <a:custGeom>
            <a:avLst/>
            <a:gdLst>
              <a:gd name="T0" fmla="*/ 135 w 185"/>
              <a:gd name="T1" fmla="*/ 241 h 241"/>
              <a:gd name="T2" fmla="*/ 185 w 185"/>
              <a:gd name="T3" fmla="*/ 241 h 241"/>
              <a:gd name="T4" fmla="*/ 135 w 185"/>
              <a:gd name="T5" fmla="*/ 0 h 241"/>
              <a:gd name="T6" fmla="*/ 50 w 185"/>
              <a:gd name="T7" fmla="*/ 0 h 241"/>
              <a:gd name="T8" fmla="*/ 0 w 185"/>
              <a:gd name="T9" fmla="*/ 241 h 241"/>
              <a:gd name="T10" fmla="*/ 48 w 185"/>
              <a:gd name="T11" fmla="*/ 241 h 241"/>
              <a:gd name="T12" fmla="*/ 60 w 185"/>
              <a:gd name="T13" fmla="*/ 183 h 241"/>
              <a:gd name="T14" fmla="*/ 123 w 185"/>
              <a:gd name="T15" fmla="*/ 183 h 241"/>
              <a:gd name="T16" fmla="*/ 135 w 185"/>
              <a:gd name="T17" fmla="*/ 241 h 241"/>
              <a:gd name="T18" fmla="*/ 69 w 185"/>
              <a:gd name="T19" fmla="*/ 138 h 241"/>
              <a:gd name="T20" fmla="*/ 87 w 185"/>
              <a:gd name="T21" fmla="*/ 46 h 241"/>
              <a:gd name="T22" fmla="*/ 96 w 185"/>
              <a:gd name="T23" fmla="*/ 46 h 241"/>
              <a:gd name="T24" fmla="*/ 114 w 185"/>
              <a:gd name="T25" fmla="*/ 138 h 241"/>
              <a:gd name="T26" fmla="*/ 69 w 185"/>
              <a:gd name="T27" fmla="*/ 138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85" h="241">
                <a:moveTo>
                  <a:pt x="135" y="241"/>
                </a:moveTo>
                <a:lnTo>
                  <a:pt x="185" y="241"/>
                </a:lnTo>
                <a:lnTo>
                  <a:pt x="135" y="0"/>
                </a:lnTo>
                <a:lnTo>
                  <a:pt x="50" y="0"/>
                </a:lnTo>
                <a:lnTo>
                  <a:pt x="0" y="241"/>
                </a:lnTo>
                <a:lnTo>
                  <a:pt x="48" y="241"/>
                </a:lnTo>
                <a:lnTo>
                  <a:pt x="60" y="183"/>
                </a:lnTo>
                <a:lnTo>
                  <a:pt x="123" y="183"/>
                </a:lnTo>
                <a:lnTo>
                  <a:pt x="135" y="241"/>
                </a:lnTo>
                <a:close/>
                <a:moveTo>
                  <a:pt x="69" y="138"/>
                </a:moveTo>
                <a:lnTo>
                  <a:pt x="87" y="46"/>
                </a:lnTo>
                <a:lnTo>
                  <a:pt x="96" y="46"/>
                </a:lnTo>
                <a:lnTo>
                  <a:pt x="114" y="138"/>
                </a:lnTo>
                <a:lnTo>
                  <a:pt x="69" y="138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1444127</xdr:colOff>
      <xdr:row>9</xdr:row>
      <xdr:rowOff>131671</xdr:rowOff>
    </xdr:from>
    <xdr:to>
      <xdr:col>5</xdr:col>
      <xdr:colOff>805412</xdr:colOff>
      <xdr:row>9</xdr:row>
      <xdr:rowOff>350834</xdr:rowOff>
    </xdr:to>
    <xdr:sp macro="" textlink="">
      <xdr:nvSpPr>
        <xdr:cNvPr id="22" name="Rectangle 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879556" y="2431278"/>
          <a:ext cx="5511713" cy="219163"/>
        </a:xfrm>
        <a:prstGeom prst="rect">
          <a:avLst/>
        </a:prstGeom>
        <a:ln>
          <a:noFill/>
        </a:ln>
      </xdr:spPr>
      <xdr:txBody>
        <a:bodyPr wrap="square" lIns="0" tIns="0" rIns="0" bIns="0">
          <a:spAutoFit/>
        </a:bodyPr>
        <a:lstStyle>
          <a:defPPr marL="0" marR="0" indent="0" algn="l" defTabSz="9144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1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</a:defRPr>
          </a:defPPr>
          <a:lvl1pPr marL="0" marR="0" indent="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1pPr>
          <a:lvl2pPr marL="0" marR="0" indent="2286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2pPr>
          <a:lvl3pPr marL="0" marR="0" indent="4572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3pPr>
          <a:lvl4pPr marL="0" marR="0" indent="6858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4pPr>
          <a:lvl5pPr marL="0" marR="0" indent="9144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5pPr>
          <a:lvl6pPr marL="0" marR="0" indent="11430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6pPr>
          <a:lvl7pPr marL="0" marR="0" indent="13716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7pPr>
          <a:lvl8pPr marL="0" marR="0" indent="16002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8pPr>
          <a:lvl9pPr marL="0" marR="0" indent="18288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9pPr>
        </a:lstStyle>
        <a:p>
          <a:pPr algn="l">
            <a:spcAft>
              <a:spcPts val="1200"/>
            </a:spcAft>
            <a:buClr>
              <a:srgbClr val="21BCEF"/>
            </a:buClr>
          </a:pPr>
          <a:r>
            <a:rPr lang="ru-RU" sz="1400" b="1">
              <a:solidFill>
                <a:sysClr val="windowText" lastClr="000000"/>
              </a:solidFill>
              <a:latin typeface="+mn-lt"/>
            </a:rPr>
            <a:t>МАКСИМАЛЬНЫЙ УРОВЕНЬ ФИНАНСОВОЙ ЗАЩИТЫ</a:t>
          </a:r>
        </a:p>
      </xdr:txBody>
    </xdr:sp>
    <xdr:clientData/>
  </xdr:twoCellAnchor>
  <xdr:twoCellAnchor editAs="oneCell">
    <xdr:from>
      <xdr:col>1</xdr:col>
      <xdr:colOff>1446357</xdr:colOff>
      <xdr:row>9</xdr:row>
      <xdr:rowOff>423722</xdr:rowOff>
    </xdr:from>
    <xdr:to>
      <xdr:col>5</xdr:col>
      <xdr:colOff>77</xdr:colOff>
      <xdr:row>9</xdr:row>
      <xdr:rowOff>1081210</xdr:rowOff>
    </xdr:to>
    <xdr:sp macro="" textlink="">
      <xdr:nvSpPr>
        <xdr:cNvPr id="23" name="Rectangle 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881786" y="2723329"/>
          <a:ext cx="4704069" cy="657488"/>
        </a:xfrm>
        <a:prstGeom prst="rect">
          <a:avLst/>
        </a:prstGeom>
      </xdr:spPr>
      <xdr:txBody>
        <a:bodyPr wrap="square" lIns="0" tIns="0" rIns="0" bIns="0">
          <a:spAutoFit/>
        </a:bodyPr>
        <a:lstStyle>
          <a:defPPr marL="0" marR="0" indent="0" algn="l" defTabSz="9144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1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</a:defRPr>
          </a:defPPr>
          <a:lvl1pPr marL="0" marR="0" indent="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1pPr>
          <a:lvl2pPr marL="0" marR="0" indent="2286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2pPr>
          <a:lvl3pPr marL="0" marR="0" indent="4572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3pPr>
          <a:lvl4pPr marL="0" marR="0" indent="6858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4pPr>
          <a:lvl5pPr marL="0" marR="0" indent="9144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5pPr>
          <a:lvl6pPr marL="0" marR="0" indent="11430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6pPr>
          <a:lvl7pPr marL="0" marR="0" indent="13716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7pPr>
          <a:lvl8pPr marL="0" marR="0" indent="16002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8pPr>
          <a:lvl9pPr marL="0" marR="0" indent="18288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9pPr>
        </a:lstStyle>
        <a:p>
          <a:pPr algn="l">
            <a:spcAft>
              <a:spcPts val="600"/>
            </a:spcAft>
            <a:buClr>
              <a:srgbClr val="21BCEF"/>
            </a:buClr>
          </a:pPr>
          <a:r>
            <a:rPr lang="ru-RU" sz="1400" b="0">
              <a:solidFill>
                <a:srgbClr val="3C3C3C"/>
              </a:solidFill>
              <a:latin typeface="+mn-lt"/>
              <a:ea typeface="Helvetica Neue" panose="02000503000000020004" pitchFamily="2" charset="0"/>
              <a:cs typeface="Helvetica Neue" panose="02000503000000020004" pitchFamily="2" charset="0"/>
            </a:rPr>
            <a:t>Обеспечение с </a:t>
          </a:r>
          <a:r>
            <a:rPr lang="en-US" sz="1400" b="0">
              <a:solidFill>
                <a:srgbClr val="3C3C3C"/>
              </a:solidFill>
              <a:latin typeface="+mn-lt"/>
              <a:ea typeface="Helvetica Neue" panose="02000503000000020004" pitchFamily="2" charset="0"/>
              <a:cs typeface="Helvetica Neue" panose="02000503000000020004" pitchFamily="2" charset="0"/>
            </a:rPr>
            <a:t>1-</a:t>
          </a:r>
          <a:r>
            <a:rPr lang="ru-RU" sz="1400" b="0">
              <a:solidFill>
                <a:srgbClr val="3C3C3C"/>
              </a:solidFill>
              <a:latin typeface="+mn-lt"/>
              <a:ea typeface="Helvetica Neue" panose="02000503000000020004" pitchFamily="2" charset="0"/>
              <a:cs typeface="Helvetica Neue" panose="02000503000000020004" pitchFamily="2" charset="0"/>
            </a:rPr>
            <a:t>го дня действия программы высокого уровня долгосрочной финансовой защиты жизни и здоровья, в объеме многократно превышающем его платеж</a:t>
          </a:r>
        </a:p>
      </xdr:txBody>
    </xdr:sp>
    <xdr:clientData/>
  </xdr:twoCellAnchor>
  <xdr:twoCellAnchor editAs="oneCell">
    <xdr:from>
      <xdr:col>6</xdr:col>
      <xdr:colOff>23667</xdr:colOff>
      <xdr:row>9</xdr:row>
      <xdr:rowOff>108858</xdr:rowOff>
    </xdr:from>
    <xdr:to>
      <xdr:col>9</xdr:col>
      <xdr:colOff>660565</xdr:colOff>
      <xdr:row>9</xdr:row>
      <xdr:rowOff>328021</xdr:rowOff>
    </xdr:to>
    <xdr:sp macro="" textlink="">
      <xdr:nvSpPr>
        <xdr:cNvPr id="24" name="Rectangle 1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492258" y="2377540"/>
          <a:ext cx="4377625" cy="219163"/>
        </a:xfrm>
        <a:prstGeom prst="rect">
          <a:avLst/>
        </a:prstGeom>
        <a:ln>
          <a:noFill/>
        </a:ln>
      </xdr:spPr>
      <xdr:txBody>
        <a:bodyPr wrap="square" lIns="0" tIns="0" rIns="0" bIns="0">
          <a:spAutoFit/>
        </a:bodyPr>
        <a:lstStyle>
          <a:defPPr marL="0" marR="0" indent="0" algn="l" defTabSz="9144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1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</a:defRPr>
          </a:defPPr>
          <a:lvl1pPr marL="0" marR="0" indent="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1pPr>
          <a:lvl2pPr marL="0" marR="0" indent="2286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2pPr>
          <a:lvl3pPr marL="0" marR="0" indent="4572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3pPr>
          <a:lvl4pPr marL="0" marR="0" indent="6858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4pPr>
          <a:lvl5pPr marL="0" marR="0" indent="9144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5pPr>
          <a:lvl6pPr marL="0" marR="0" indent="11430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6pPr>
          <a:lvl7pPr marL="0" marR="0" indent="13716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7pPr>
          <a:lvl8pPr marL="0" marR="0" indent="16002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8pPr>
          <a:lvl9pPr marL="0" marR="0" indent="18288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9pPr>
        </a:lstStyle>
        <a:p>
          <a:pPr algn="l">
            <a:spcAft>
              <a:spcPts val="1200"/>
            </a:spcAft>
            <a:buClr>
              <a:srgbClr val="21BCEF"/>
            </a:buClr>
          </a:pPr>
          <a:r>
            <a:rPr lang="ru-RU" sz="1400" b="1">
              <a:solidFill>
                <a:sysClr val="windowText" lastClr="000000"/>
              </a:solidFill>
              <a:latin typeface="+mn-lt"/>
            </a:rPr>
            <a:t>ДОЛГОСРОЧНАЯ ЗАЩИТА СЕБЯ И  СВОИХ  БЛИЗКИХ</a:t>
          </a:r>
        </a:p>
      </xdr:txBody>
    </xdr:sp>
    <xdr:clientData/>
  </xdr:twoCellAnchor>
  <xdr:twoCellAnchor editAs="oneCell">
    <xdr:from>
      <xdr:col>6</xdr:col>
      <xdr:colOff>-1</xdr:colOff>
      <xdr:row>9</xdr:row>
      <xdr:rowOff>419722</xdr:rowOff>
    </xdr:from>
    <xdr:to>
      <xdr:col>9</xdr:col>
      <xdr:colOff>830035</xdr:colOff>
      <xdr:row>9</xdr:row>
      <xdr:rowOff>1077210</xdr:rowOff>
    </xdr:to>
    <xdr:sp macro="" textlink="">
      <xdr:nvSpPr>
        <xdr:cNvPr id="25" name="Rectangle 1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8468590" y="2688404"/>
          <a:ext cx="4570763" cy="657488"/>
        </a:xfrm>
        <a:prstGeom prst="rect">
          <a:avLst/>
        </a:prstGeom>
      </xdr:spPr>
      <xdr:txBody>
        <a:bodyPr wrap="square" lIns="0" tIns="0" rIns="0" bIns="0">
          <a:spAutoFit/>
        </a:bodyPr>
        <a:lstStyle>
          <a:defPPr marL="0" marR="0" indent="0" algn="l" defTabSz="9144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1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</a:defRPr>
          </a:defPPr>
          <a:lvl1pPr marL="0" marR="0" indent="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1pPr>
          <a:lvl2pPr marL="0" marR="0" indent="2286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2pPr>
          <a:lvl3pPr marL="0" marR="0" indent="4572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3pPr>
          <a:lvl4pPr marL="0" marR="0" indent="6858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4pPr>
          <a:lvl5pPr marL="0" marR="0" indent="9144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5pPr>
          <a:lvl6pPr marL="0" marR="0" indent="11430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6pPr>
          <a:lvl7pPr marL="0" marR="0" indent="13716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7pPr>
          <a:lvl8pPr marL="0" marR="0" indent="16002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8pPr>
          <a:lvl9pPr marL="0" marR="0" indent="1828800" algn="ctr" defTabSz="8255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kumimoji="0" sz="30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Helvetica Neue"/>
              <a:ea typeface="Helvetica Neue"/>
              <a:cs typeface="Helvetica Neue"/>
              <a:sym typeface="Helvetica Neue"/>
            </a:defRPr>
          </a:lvl9pPr>
        </a:lstStyle>
        <a:p>
          <a:pPr algn="l">
            <a:spcAft>
              <a:spcPts val="600"/>
            </a:spcAft>
            <a:buClr>
              <a:srgbClr val="21BCEF"/>
            </a:buClr>
          </a:pPr>
          <a:r>
            <a:rPr lang="ru-RU" sz="1400" b="0">
              <a:solidFill>
                <a:srgbClr val="3C3C3C"/>
              </a:solidFill>
              <a:latin typeface="+mn-lt"/>
              <a:ea typeface="Helvetica Neue" panose="02000503000000020004" pitchFamily="2" charset="0"/>
              <a:cs typeface="Helvetica Neue" panose="02000503000000020004" pitchFamily="2" charset="0"/>
            </a:rPr>
            <a:t>За счет страхового покрытия вы защищаете себя и своих близких от финансовых потерь в будущем в случае непредвиденных обстоятельств</a:t>
          </a:r>
        </a:p>
      </xdr:txBody>
    </xdr:sp>
    <xdr:clientData/>
  </xdr:twoCellAnchor>
  <xdr:twoCellAnchor editAs="oneCell">
    <xdr:from>
      <xdr:col>5</xdr:col>
      <xdr:colOff>1832770</xdr:colOff>
      <xdr:row>1</xdr:row>
      <xdr:rowOff>34320</xdr:rowOff>
    </xdr:from>
    <xdr:to>
      <xdr:col>9</xdr:col>
      <xdr:colOff>754630</xdr:colOff>
      <xdr:row>2</xdr:row>
      <xdr:rowOff>175709</xdr:rowOff>
    </xdr:to>
    <xdr:grpSp>
      <xdr:nvGrpSpPr>
        <xdr:cNvPr id="26" name="Group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pSpPr>
          <a:grpSpLocks noChangeAspect="1"/>
        </xdr:cNvGrpSpPr>
      </xdr:nvGrpSpPr>
      <xdr:grpSpPr bwMode="auto">
        <a:xfrm>
          <a:off x="8418627" y="238427"/>
          <a:ext cx="4528003" cy="372711"/>
          <a:chOff x="417" y="7986"/>
          <a:chExt cx="2870" cy="241"/>
        </a:xfrm>
      </xdr:grpSpPr>
      <xdr:sp macro="" textlink="">
        <xdr:nvSpPr>
          <xdr:cNvPr id="27" name="Freeform 5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>
            <a:spLocks/>
          </xdr:cNvSpPr>
        </xdr:nvSpPr>
        <xdr:spPr bwMode="auto">
          <a:xfrm>
            <a:off x="2570" y="7986"/>
            <a:ext cx="170" cy="241"/>
          </a:xfrm>
          <a:custGeom>
            <a:avLst/>
            <a:gdLst>
              <a:gd name="T0" fmla="*/ 49 w 170"/>
              <a:gd name="T1" fmla="*/ 145 h 241"/>
              <a:gd name="T2" fmla="*/ 49 w 170"/>
              <a:gd name="T3" fmla="*/ 0 h 241"/>
              <a:gd name="T4" fmla="*/ 0 w 170"/>
              <a:gd name="T5" fmla="*/ 0 h 241"/>
              <a:gd name="T6" fmla="*/ 0 w 170"/>
              <a:gd name="T7" fmla="*/ 241 h 241"/>
              <a:gd name="T8" fmla="*/ 47 w 170"/>
              <a:gd name="T9" fmla="*/ 241 h 241"/>
              <a:gd name="T10" fmla="*/ 121 w 170"/>
              <a:gd name="T11" fmla="*/ 95 h 241"/>
              <a:gd name="T12" fmla="*/ 121 w 170"/>
              <a:gd name="T13" fmla="*/ 241 h 241"/>
              <a:gd name="T14" fmla="*/ 170 w 170"/>
              <a:gd name="T15" fmla="*/ 241 h 241"/>
              <a:gd name="T16" fmla="*/ 170 w 170"/>
              <a:gd name="T17" fmla="*/ 0 h 241"/>
              <a:gd name="T18" fmla="*/ 123 w 170"/>
              <a:gd name="T19" fmla="*/ 0 h 241"/>
              <a:gd name="T20" fmla="*/ 49 w 170"/>
              <a:gd name="T21" fmla="*/ 145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70" h="241">
                <a:moveTo>
                  <a:pt x="49" y="145"/>
                </a:moveTo>
                <a:lnTo>
                  <a:pt x="49" y="0"/>
                </a:lnTo>
                <a:lnTo>
                  <a:pt x="0" y="0"/>
                </a:lnTo>
                <a:lnTo>
                  <a:pt x="0" y="241"/>
                </a:lnTo>
                <a:lnTo>
                  <a:pt x="47" y="241"/>
                </a:lnTo>
                <a:lnTo>
                  <a:pt x="121" y="95"/>
                </a:lnTo>
                <a:lnTo>
                  <a:pt x="121" y="241"/>
                </a:lnTo>
                <a:lnTo>
                  <a:pt x="170" y="241"/>
                </a:lnTo>
                <a:lnTo>
                  <a:pt x="170" y="0"/>
                </a:lnTo>
                <a:lnTo>
                  <a:pt x="123" y="0"/>
                </a:lnTo>
                <a:lnTo>
                  <a:pt x="49" y="145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28" name="Freeform 6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>
            <a:spLocks/>
          </xdr:cNvSpPr>
        </xdr:nvSpPr>
        <xdr:spPr bwMode="auto">
          <a:xfrm>
            <a:off x="2773" y="7986"/>
            <a:ext cx="135" cy="241"/>
          </a:xfrm>
          <a:custGeom>
            <a:avLst/>
            <a:gdLst>
              <a:gd name="T0" fmla="*/ 1 w 135"/>
              <a:gd name="T1" fmla="*/ 0 h 241"/>
              <a:gd name="T2" fmla="*/ 1 w 135"/>
              <a:gd name="T3" fmla="*/ 46 h 241"/>
              <a:gd name="T4" fmla="*/ 85 w 135"/>
              <a:gd name="T5" fmla="*/ 46 h 241"/>
              <a:gd name="T6" fmla="*/ 85 w 135"/>
              <a:gd name="T7" fmla="*/ 96 h 241"/>
              <a:gd name="T8" fmla="*/ 21 w 135"/>
              <a:gd name="T9" fmla="*/ 96 h 241"/>
              <a:gd name="T10" fmla="*/ 21 w 135"/>
              <a:gd name="T11" fmla="*/ 143 h 241"/>
              <a:gd name="T12" fmla="*/ 85 w 135"/>
              <a:gd name="T13" fmla="*/ 143 h 241"/>
              <a:gd name="T14" fmla="*/ 85 w 135"/>
              <a:gd name="T15" fmla="*/ 195 h 241"/>
              <a:gd name="T16" fmla="*/ 0 w 135"/>
              <a:gd name="T17" fmla="*/ 195 h 241"/>
              <a:gd name="T18" fmla="*/ 0 w 135"/>
              <a:gd name="T19" fmla="*/ 241 h 241"/>
              <a:gd name="T20" fmla="*/ 99 w 135"/>
              <a:gd name="T21" fmla="*/ 241 h 241"/>
              <a:gd name="T22" fmla="*/ 135 w 135"/>
              <a:gd name="T23" fmla="*/ 206 h 241"/>
              <a:gd name="T24" fmla="*/ 135 w 135"/>
              <a:gd name="T25" fmla="*/ 147 h 241"/>
              <a:gd name="T26" fmla="*/ 105 w 135"/>
              <a:gd name="T27" fmla="*/ 119 h 241"/>
              <a:gd name="T28" fmla="*/ 135 w 135"/>
              <a:gd name="T29" fmla="*/ 91 h 241"/>
              <a:gd name="T30" fmla="*/ 135 w 135"/>
              <a:gd name="T31" fmla="*/ 34 h 241"/>
              <a:gd name="T32" fmla="*/ 99 w 135"/>
              <a:gd name="T33" fmla="*/ 0 h 241"/>
              <a:gd name="T34" fmla="*/ 1 w 135"/>
              <a:gd name="T35" fmla="*/ 0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135" h="241">
                <a:moveTo>
                  <a:pt x="1" y="0"/>
                </a:moveTo>
                <a:lnTo>
                  <a:pt x="1" y="46"/>
                </a:lnTo>
                <a:lnTo>
                  <a:pt x="85" y="46"/>
                </a:lnTo>
                <a:lnTo>
                  <a:pt x="85" y="96"/>
                </a:lnTo>
                <a:lnTo>
                  <a:pt x="21" y="96"/>
                </a:lnTo>
                <a:lnTo>
                  <a:pt x="21" y="143"/>
                </a:lnTo>
                <a:lnTo>
                  <a:pt x="85" y="143"/>
                </a:lnTo>
                <a:lnTo>
                  <a:pt x="85" y="195"/>
                </a:lnTo>
                <a:lnTo>
                  <a:pt x="0" y="195"/>
                </a:lnTo>
                <a:lnTo>
                  <a:pt x="0" y="241"/>
                </a:lnTo>
                <a:lnTo>
                  <a:pt x="99" y="241"/>
                </a:lnTo>
                <a:lnTo>
                  <a:pt x="135" y="206"/>
                </a:lnTo>
                <a:lnTo>
                  <a:pt x="135" y="147"/>
                </a:lnTo>
                <a:lnTo>
                  <a:pt x="105" y="119"/>
                </a:lnTo>
                <a:lnTo>
                  <a:pt x="135" y="91"/>
                </a:lnTo>
                <a:lnTo>
                  <a:pt x="135" y="34"/>
                </a:lnTo>
                <a:lnTo>
                  <a:pt x="99" y="0"/>
                </a:lnTo>
                <a:lnTo>
                  <a:pt x="1" y="0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29" name="Freeform 7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>
            <a:spLocks noEditPoints="1"/>
          </xdr:cNvSpPr>
        </xdr:nvSpPr>
        <xdr:spPr bwMode="auto">
          <a:xfrm>
            <a:off x="3137" y="7986"/>
            <a:ext cx="150" cy="241"/>
          </a:xfrm>
          <a:custGeom>
            <a:avLst/>
            <a:gdLst>
              <a:gd name="T0" fmla="*/ 113 w 150"/>
              <a:gd name="T1" fmla="*/ 80 h 241"/>
              <a:gd name="T2" fmla="*/ 50 w 150"/>
              <a:gd name="T3" fmla="*/ 80 h 241"/>
              <a:gd name="T4" fmla="*/ 50 w 150"/>
              <a:gd name="T5" fmla="*/ 0 h 241"/>
              <a:gd name="T6" fmla="*/ 0 w 150"/>
              <a:gd name="T7" fmla="*/ 0 h 241"/>
              <a:gd name="T8" fmla="*/ 0 w 150"/>
              <a:gd name="T9" fmla="*/ 241 h 241"/>
              <a:gd name="T10" fmla="*/ 115 w 150"/>
              <a:gd name="T11" fmla="*/ 241 h 241"/>
              <a:gd name="T12" fmla="*/ 150 w 150"/>
              <a:gd name="T13" fmla="*/ 206 h 241"/>
              <a:gd name="T14" fmla="*/ 150 w 150"/>
              <a:gd name="T15" fmla="*/ 115 h 241"/>
              <a:gd name="T16" fmla="*/ 113 w 150"/>
              <a:gd name="T17" fmla="*/ 80 h 241"/>
              <a:gd name="T18" fmla="*/ 100 w 150"/>
              <a:gd name="T19" fmla="*/ 195 h 241"/>
              <a:gd name="T20" fmla="*/ 50 w 150"/>
              <a:gd name="T21" fmla="*/ 195 h 241"/>
              <a:gd name="T22" fmla="*/ 50 w 150"/>
              <a:gd name="T23" fmla="*/ 127 h 241"/>
              <a:gd name="T24" fmla="*/ 100 w 150"/>
              <a:gd name="T25" fmla="*/ 127 h 241"/>
              <a:gd name="T26" fmla="*/ 100 w 150"/>
              <a:gd name="T27" fmla="*/ 195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50" h="241">
                <a:moveTo>
                  <a:pt x="113" y="80"/>
                </a:moveTo>
                <a:lnTo>
                  <a:pt x="50" y="80"/>
                </a:lnTo>
                <a:lnTo>
                  <a:pt x="50" y="0"/>
                </a:lnTo>
                <a:lnTo>
                  <a:pt x="0" y="0"/>
                </a:lnTo>
                <a:lnTo>
                  <a:pt x="0" y="241"/>
                </a:lnTo>
                <a:lnTo>
                  <a:pt x="115" y="241"/>
                </a:lnTo>
                <a:lnTo>
                  <a:pt x="150" y="206"/>
                </a:lnTo>
                <a:lnTo>
                  <a:pt x="150" y="115"/>
                </a:lnTo>
                <a:lnTo>
                  <a:pt x="113" y="80"/>
                </a:lnTo>
                <a:close/>
                <a:moveTo>
                  <a:pt x="100" y="195"/>
                </a:moveTo>
                <a:lnTo>
                  <a:pt x="50" y="195"/>
                </a:lnTo>
                <a:lnTo>
                  <a:pt x="50" y="127"/>
                </a:lnTo>
                <a:lnTo>
                  <a:pt x="100" y="127"/>
                </a:lnTo>
                <a:lnTo>
                  <a:pt x="100" y="195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0" name="Freeform 8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>
            <a:spLocks/>
          </xdr:cNvSpPr>
        </xdr:nvSpPr>
        <xdr:spPr bwMode="auto">
          <a:xfrm>
            <a:off x="2292" y="7986"/>
            <a:ext cx="252" cy="241"/>
          </a:xfrm>
          <a:custGeom>
            <a:avLst/>
            <a:gdLst>
              <a:gd name="T0" fmla="*/ 251 w 252"/>
              <a:gd name="T1" fmla="*/ 0 h 241"/>
              <a:gd name="T2" fmla="*/ 200 w 252"/>
              <a:gd name="T3" fmla="*/ 0 h 241"/>
              <a:gd name="T4" fmla="*/ 168 w 252"/>
              <a:gd name="T5" fmla="*/ 96 h 241"/>
              <a:gd name="T6" fmla="*/ 151 w 252"/>
              <a:gd name="T7" fmla="*/ 96 h 241"/>
              <a:gd name="T8" fmla="*/ 151 w 252"/>
              <a:gd name="T9" fmla="*/ 0 h 241"/>
              <a:gd name="T10" fmla="*/ 101 w 252"/>
              <a:gd name="T11" fmla="*/ 0 h 241"/>
              <a:gd name="T12" fmla="*/ 101 w 252"/>
              <a:gd name="T13" fmla="*/ 96 h 241"/>
              <a:gd name="T14" fmla="*/ 83 w 252"/>
              <a:gd name="T15" fmla="*/ 96 h 241"/>
              <a:gd name="T16" fmla="*/ 52 w 252"/>
              <a:gd name="T17" fmla="*/ 0 h 241"/>
              <a:gd name="T18" fmla="*/ 1 w 252"/>
              <a:gd name="T19" fmla="*/ 0 h 241"/>
              <a:gd name="T20" fmla="*/ 42 w 252"/>
              <a:gd name="T21" fmla="*/ 118 h 241"/>
              <a:gd name="T22" fmla="*/ 0 w 252"/>
              <a:gd name="T23" fmla="*/ 241 h 241"/>
              <a:gd name="T24" fmla="*/ 52 w 252"/>
              <a:gd name="T25" fmla="*/ 241 h 241"/>
              <a:gd name="T26" fmla="*/ 84 w 252"/>
              <a:gd name="T27" fmla="*/ 143 h 241"/>
              <a:gd name="T28" fmla="*/ 101 w 252"/>
              <a:gd name="T29" fmla="*/ 143 h 241"/>
              <a:gd name="T30" fmla="*/ 101 w 252"/>
              <a:gd name="T31" fmla="*/ 241 h 241"/>
              <a:gd name="T32" fmla="*/ 151 w 252"/>
              <a:gd name="T33" fmla="*/ 241 h 241"/>
              <a:gd name="T34" fmla="*/ 151 w 252"/>
              <a:gd name="T35" fmla="*/ 143 h 241"/>
              <a:gd name="T36" fmla="*/ 168 w 252"/>
              <a:gd name="T37" fmla="*/ 143 h 241"/>
              <a:gd name="T38" fmla="*/ 200 w 252"/>
              <a:gd name="T39" fmla="*/ 241 h 241"/>
              <a:gd name="T40" fmla="*/ 252 w 252"/>
              <a:gd name="T41" fmla="*/ 241 h 241"/>
              <a:gd name="T42" fmla="*/ 210 w 252"/>
              <a:gd name="T43" fmla="*/ 118 h 241"/>
              <a:gd name="T44" fmla="*/ 251 w 252"/>
              <a:gd name="T45" fmla="*/ 0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52" h="241">
                <a:moveTo>
                  <a:pt x="251" y="0"/>
                </a:moveTo>
                <a:lnTo>
                  <a:pt x="200" y="0"/>
                </a:lnTo>
                <a:lnTo>
                  <a:pt x="168" y="96"/>
                </a:lnTo>
                <a:lnTo>
                  <a:pt x="151" y="96"/>
                </a:lnTo>
                <a:lnTo>
                  <a:pt x="151" y="0"/>
                </a:lnTo>
                <a:lnTo>
                  <a:pt x="101" y="0"/>
                </a:lnTo>
                <a:lnTo>
                  <a:pt x="101" y="96"/>
                </a:lnTo>
                <a:lnTo>
                  <a:pt x="83" y="96"/>
                </a:lnTo>
                <a:lnTo>
                  <a:pt x="52" y="0"/>
                </a:lnTo>
                <a:lnTo>
                  <a:pt x="1" y="0"/>
                </a:lnTo>
                <a:lnTo>
                  <a:pt x="42" y="118"/>
                </a:lnTo>
                <a:lnTo>
                  <a:pt x="0" y="241"/>
                </a:lnTo>
                <a:lnTo>
                  <a:pt x="52" y="241"/>
                </a:lnTo>
                <a:lnTo>
                  <a:pt x="84" y="143"/>
                </a:lnTo>
                <a:lnTo>
                  <a:pt x="101" y="143"/>
                </a:lnTo>
                <a:lnTo>
                  <a:pt x="101" y="241"/>
                </a:lnTo>
                <a:lnTo>
                  <a:pt x="151" y="241"/>
                </a:lnTo>
                <a:lnTo>
                  <a:pt x="151" y="143"/>
                </a:lnTo>
                <a:lnTo>
                  <a:pt x="168" y="143"/>
                </a:lnTo>
                <a:lnTo>
                  <a:pt x="200" y="241"/>
                </a:lnTo>
                <a:lnTo>
                  <a:pt x="252" y="241"/>
                </a:lnTo>
                <a:lnTo>
                  <a:pt x="210" y="118"/>
                </a:lnTo>
                <a:lnTo>
                  <a:pt x="251" y="0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1" name="Freeform 9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>
            <a:spLocks/>
          </xdr:cNvSpPr>
        </xdr:nvSpPr>
        <xdr:spPr bwMode="auto">
          <a:xfrm>
            <a:off x="2939" y="7986"/>
            <a:ext cx="161" cy="241"/>
          </a:xfrm>
          <a:custGeom>
            <a:avLst/>
            <a:gdLst>
              <a:gd name="T0" fmla="*/ 112 w 161"/>
              <a:gd name="T1" fmla="*/ 98 h 241"/>
              <a:gd name="T2" fmla="*/ 50 w 161"/>
              <a:gd name="T3" fmla="*/ 98 h 241"/>
              <a:gd name="T4" fmla="*/ 50 w 161"/>
              <a:gd name="T5" fmla="*/ 0 h 241"/>
              <a:gd name="T6" fmla="*/ 0 w 161"/>
              <a:gd name="T7" fmla="*/ 0 h 241"/>
              <a:gd name="T8" fmla="*/ 0 w 161"/>
              <a:gd name="T9" fmla="*/ 75 h 241"/>
              <a:gd name="T10" fmla="*/ 0 w 161"/>
              <a:gd name="T11" fmla="*/ 163 h 241"/>
              <a:gd name="T12" fmla="*/ 0 w 161"/>
              <a:gd name="T13" fmla="*/ 241 h 241"/>
              <a:gd name="T14" fmla="*/ 50 w 161"/>
              <a:gd name="T15" fmla="*/ 241 h 241"/>
              <a:gd name="T16" fmla="*/ 50 w 161"/>
              <a:gd name="T17" fmla="*/ 145 h 241"/>
              <a:gd name="T18" fmla="*/ 112 w 161"/>
              <a:gd name="T19" fmla="*/ 145 h 241"/>
              <a:gd name="T20" fmla="*/ 112 w 161"/>
              <a:gd name="T21" fmla="*/ 241 h 241"/>
              <a:gd name="T22" fmla="*/ 161 w 161"/>
              <a:gd name="T23" fmla="*/ 241 h 241"/>
              <a:gd name="T24" fmla="*/ 161 w 161"/>
              <a:gd name="T25" fmla="*/ 0 h 241"/>
              <a:gd name="T26" fmla="*/ 112 w 161"/>
              <a:gd name="T27" fmla="*/ 0 h 241"/>
              <a:gd name="T28" fmla="*/ 112 w 161"/>
              <a:gd name="T29" fmla="*/ 98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161" h="241">
                <a:moveTo>
                  <a:pt x="112" y="98"/>
                </a:moveTo>
                <a:lnTo>
                  <a:pt x="50" y="98"/>
                </a:lnTo>
                <a:lnTo>
                  <a:pt x="50" y="0"/>
                </a:lnTo>
                <a:lnTo>
                  <a:pt x="0" y="0"/>
                </a:lnTo>
                <a:lnTo>
                  <a:pt x="0" y="75"/>
                </a:lnTo>
                <a:lnTo>
                  <a:pt x="0" y="163"/>
                </a:lnTo>
                <a:lnTo>
                  <a:pt x="0" y="241"/>
                </a:lnTo>
                <a:lnTo>
                  <a:pt x="50" y="241"/>
                </a:lnTo>
                <a:lnTo>
                  <a:pt x="50" y="145"/>
                </a:lnTo>
                <a:lnTo>
                  <a:pt x="112" y="145"/>
                </a:lnTo>
                <a:lnTo>
                  <a:pt x="112" y="241"/>
                </a:lnTo>
                <a:lnTo>
                  <a:pt x="161" y="241"/>
                </a:lnTo>
                <a:lnTo>
                  <a:pt x="161" y="0"/>
                </a:lnTo>
                <a:lnTo>
                  <a:pt x="112" y="0"/>
                </a:lnTo>
                <a:lnTo>
                  <a:pt x="112" y="98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2" name="Freeform 10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>
            <a:spLocks/>
          </xdr:cNvSpPr>
        </xdr:nvSpPr>
        <xdr:spPr bwMode="auto">
          <a:xfrm>
            <a:off x="936" y="7986"/>
            <a:ext cx="112" cy="241"/>
          </a:xfrm>
          <a:custGeom>
            <a:avLst/>
            <a:gdLst>
              <a:gd name="T0" fmla="*/ 0 w 112"/>
              <a:gd name="T1" fmla="*/ 241 h 241"/>
              <a:gd name="T2" fmla="*/ 49 w 112"/>
              <a:gd name="T3" fmla="*/ 241 h 241"/>
              <a:gd name="T4" fmla="*/ 49 w 112"/>
              <a:gd name="T5" fmla="*/ 46 h 241"/>
              <a:gd name="T6" fmla="*/ 112 w 112"/>
              <a:gd name="T7" fmla="*/ 46 h 241"/>
              <a:gd name="T8" fmla="*/ 112 w 112"/>
              <a:gd name="T9" fmla="*/ 0 h 241"/>
              <a:gd name="T10" fmla="*/ 0 w 112"/>
              <a:gd name="T11" fmla="*/ 0 h 241"/>
              <a:gd name="T12" fmla="*/ 0 w 112"/>
              <a:gd name="T13" fmla="*/ 241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12" h="241">
                <a:moveTo>
                  <a:pt x="0" y="241"/>
                </a:moveTo>
                <a:lnTo>
                  <a:pt x="49" y="241"/>
                </a:lnTo>
                <a:lnTo>
                  <a:pt x="49" y="46"/>
                </a:lnTo>
                <a:lnTo>
                  <a:pt x="112" y="46"/>
                </a:lnTo>
                <a:lnTo>
                  <a:pt x="112" y="0"/>
                </a:lnTo>
                <a:lnTo>
                  <a:pt x="0" y="0"/>
                </a:lnTo>
                <a:lnTo>
                  <a:pt x="0" y="241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>
            <a:spLocks/>
          </xdr:cNvSpPr>
        </xdr:nvSpPr>
        <xdr:spPr bwMode="auto">
          <a:xfrm>
            <a:off x="1537" y="7986"/>
            <a:ext cx="150" cy="241"/>
          </a:xfrm>
          <a:custGeom>
            <a:avLst/>
            <a:gdLst>
              <a:gd name="T0" fmla="*/ 0 w 150"/>
              <a:gd name="T1" fmla="*/ 46 h 241"/>
              <a:gd name="T2" fmla="*/ 50 w 150"/>
              <a:gd name="T3" fmla="*/ 46 h 241"/>
              <a:gd name="T4" fmla="*/ 50 w 150"/>
              <a:gd name="T5" fmla="*/ 241 h 241"/>
              <a:gd name="T6" fmla="*/ 100 w 150"/>
              <a:gd name="T7" fmla="*/ 241 h 241"/>
              <a:gd name="T8" fmla="*/ 100 w 150"/>
              <a:gd name="T9" fmla="*/ 46 h 241"/>
              <a:gd name="T10" fmla="*/ 150 w 150"/>
              <a:gd name="T11" fmla="*/ 46 h 241"/>
              <a:gd name="T12" fmla="*/ 150 w 150"/>
              <a:gd name="T13" fmla="*/ 0 h 241"/>
              <a:gd name="T14" fmla="*/ 0 w 150"/>
              <a:gd name="T15" fmla="*/ 0 h 241"/>
              <a:gd name="T16" fmla="*/ 0 w 150"/>
              <a:gd name="T17" fmla="*/ 46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0" h="241">
                <a:moveTo>
                  <a:pt x="0" y="46"/>
                </a:moveTo>
                <a:lnTo>
                  <a:pt x="50" y="46"/>
                </a:lnTo>
                <a:lnTo>
                  <a:pt x="50" y="241"/>
                </a:lnTo>
                <a:lnTo>
                  <a:pt x="100" y="241"/>
                </a:lnTo>
                <a:lnTo>
                  <a:pt x="100" y="46"/>
                </a:lnTo>
                <a:lnTo>
                  <a:pt x="150" y="46"/>
                </a:lnTo>
                <a:lnTo>
                  <a:pt x="150" y="0"/>
                </a:lnTo>
                <a:lnTo>
                  <a:pt x="0" y="0"/>
                </a:lnTo>
                <a:lnTo>
                  <a:pt x="0" y="46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4" name="Freeform 12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>
            <a:spLocks noEditPoints="1"/>
          </xdr:cNvSpPr>
        </xdr:nvSpPr>
        <xdr:spPr bwMode="auto">
          <a:xfrm>
            <a:off x="417" y="7986"/>
            <a:ext cx="149" cy="241"/>
          </a:xfrm>
          <a:custGeom>
            <a:avLst/>
            <a:gdLst>
              <a:gd name="T0" fmla="*/ 0 w 149"/>
              <a:gd name="T1" fmla="*/ 0 h 241"/>
              <a:gd name="T2" fmla="*/ 0 w 149"/>
              <a:gd name="T3" fmla="*/ 241 h 241"/>
              <a:gd name="T4" fmla="*/ 49 w 149"/>
              <a:gd name="T5" fmla="*/ 241 h 241"/>
              <a:gd name="T6" fmla="*/ 49 w 149"/>
              <a:gd name="T7" fmla="*/ 180 h 241"/>
              <a:gd name="T8" fmla="*/ 112 w 149"/>
              <a:gd name="T9" fmla="*/ 180 h 241"/>
              <a:gd name="T10" fmla="*/ 149 w 149"/>
              <a:gd name="T11" fmla="*/ 145 h 241"/>
              <a:gd name="T12" fmla="*/ 149 w 149"/>
              <a:gd name="T13" fmla="*/ 34 h 241"/>
              <a:gd name="T14" fmla="*/ 114 w 149"/>
              <a:gd name="T15" fmla="*/ 0 h 241"/>
              <a:gd name="T16" fmla="*/ 0 w 149"/>
              <a:gd name="T17" fmla="*/ 0 h 241"/>
              <a:gd name="T18" fmla="*/ 99 w 149"/>
              <a:gd name="T19" fmla="*/ 132 h 241"/>
              <a:gd name="T20" fmla="*/ 49 w 149"/>
              <a:gd name="T21" fmla="*/ 132 h 241"/>
              <a:gd name="T22" fmla="*/ 49 w 149"/>
              <a:gd name="T23" fmla="*/ 46 h 241"/>
              <a:gd name="T24" fmla="*/ 99 w 149"/>
              <a:gd name="T25" fmla="*/ 46 h 241"/>
              <a:gd name="T26" fmla="*/ 99 w 149"/>
              <a:gd name="T27" fmla="*/ 132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49" h="241">
                <a:moveTo>
                  <a:pt x="0" y="0"/>
                </a:moveTo>
                <a:lnTo>
                  <a:pt x="0" y="241"/>
                </a:lnTo>
                <a:lnTo>
                  <a:pt x="49" y="241"/>
                </a:lnTo>
                <a:lnTo>
                  <a:pt x="49" y="180"/>
                </a:lnTo>
                <a:lnTo>
                  <a:pt x="112" y="180"/>
                </a:lnTo>
                <a:lnTo>
                  <a:pt x="149" y="145"/>
                </a:lnTo>
                <a:lnTo>
                  <a:pt x="149" y="34"/>
                </a:lnTo>
                <a:lnTo>
                  <a:pt x="114" y="0"/>
                </a:lnTo>
                <a:lnTo>
                  <a:pt x="0" y="0"/>
                </a:lnTo>
                <a:close/>
                <a:moveTo>
                  <a:pt x="99" y="132"/>
                </a:moveTo>
                <a:lnTo>
                  <a:pt x="49" y="132"/>
                </a:lnTo>
                <a:lnTo>
                  <a:pt x="49" y="46"/>
                </a:lnTo>
                <a:lnTo>
                  <a:pt x="99" y="46"/>
                </a:lnTo>
                <a:lnTo>
                  <a:pt x="99" y="132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>
            <a:spLocks/>
          </xdr:cNvSpPr>
        </xdr:nvSpPr>
        <xdr:spPr bwMode="auto">
          <a:xfrm>
            <a:off x="2066" y="7986"/>
            <a:ext cx="164" cy="241"/>
          </a:xfrm>
          <a:custGeom>
            <a:avLst/>
            <a:gdLst>
              <a:gd name="T0" fmla="*/ 127 w 164"/>
              <a:gd name="T1" fmla="*/ 117 h 241"/>
              <a:gd name="T2" fmla="*/ 162 w 164"/>
              <a:gd name="T3" fmla="*/ 0 h 241"/>
              <a:gd name="T4" fmla="*/ 114 w 164"/>
              <a:gd name="T5" fmla="*/ 0 h 241"/>
              <a:gd name="T6" fmla="*/ 86 w 164"/>
              <a:gd name="T7" fmla="*/ 91 h 241"/>
              <a:gd name="T8" fmla="*/ 77 w 164"/>
              <a:gd name="T9" fmla="*/ 91 h 241"/>
              <a:gd name="T10" fmla="*/ 50 w 164"/>
              <a:gd name="T11" fmla="*/ 0 h 241"/>
              <a:gd name="T12" fmla="*/ 0 w 164"/>
              <a:gd name="T13" fmla="*/ 0 h 241"/>
              <a:gd name="T14" fmla="*/ 36 w 164"/>
              <a:gd name="T15" fmla="*/ 118 h 241"/>
              <a:gd name="T16" fmla="*/ 0 w 164"/>
              <a:gd name="T17" fmla="*/ 241 h 241"/>
              <a:gd name="T18" fmla="*/ 49 w 164"/>
              <a:gd name="T19" fmla="*/ 241 h 241"/>
              <a:gd name="T20" fmla="*/ 77 w 164"/>
              <a:gd name="T21" fmla="*/ 146 h 241"/>
              <a:gd name="T22" fmla="*/ 85 w 164"/>
              <a:gd name="T23" fmla="*/ 146 h 241"/>
              <a:gd name="T24" fmla="*/ 115 w 164"/>
              <a:gd name="T25" fmla="*/ 241 h 241"/>
              <a:gd name="T26" fmla="*/ 164 w 164"/>
              <a:gd name="T27" fmla="*/ 241 h 241"/>
              <a:gd name="T28" fmla="*/ 127 w 164"/>
              <a:gd name="T29" fmla="*/ 117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164" h="241">
                <a:moveTo>
                  <a:pt x="127" y="117"/>
                </a:moveTo>
                <a:lnTo>
                  <a:pt x="162" y="0"/>
                </a:lnTo>
                <a:lnTo>
                  <a:pt x="114" y="0"/>
                </a:lnTo>
                <a:lnTo>
                  <a:pt x="86" y="91"/>
                </a:lnTo>
                <a:lnTo>
                  <a:pt x="77" y="91"/>
                </a:lnTo>
                <a:lnTo>
                  <a:pt x="50" y="0"/>
                </a:lnTo>
                <a:lnTo>
                  <a:pt x="0" y="0"/>
                </a:lnTo>
                <a:lnTo>
                  <a:pt x="36" y="118"/>
                </a:lnTo>
                <a:lnTo>
                  <a:pt x="0" y="241"/>
                </a:lnTo>
                <a:lnTo>
                  <a:pt x="49" y="241"/>
                </a:lnTo>
                <a:lnTo>
                  <a:pt x="77" y="146"/>
                </a:lnTo>
                <a:lnTo>
                  <a:pt x="85" y="146"/>
                </a:lnTo>
                <a:lnTo>
                  <a:pt x="115" y="241"/>
                </a:lnTo>
                <a:lnTo>
                  <a:pt x="164" y="241"/>
                </a:lnTo>
                <a:lnTo>
                  <a:pt x="127" y="117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6" name="Freeform 14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>
            <a:spLocks noEditPoints="1"/>
          </xdr:cNvSpPr>
        </xdr:nvSpPr>
        <xdr:spPr bwMode="auto">
          <a:xfrm>
            <a:off x="594" y="7986"/>
            <a:ext cx="158" cy="241"/>
          </a:xfrm>
          <a:custGeom>
            <a:avLst/>
            <a:gdLst>
              <a:gd name="T0" fmla="*/ 35 w 158"/>
              <a:gd name="T1" fmla="*/ 0 h 241"/>
              <a:gd name="T2" fmla="*/ 0 w 158"/>
              <a:gd name="T3" fmla="*/ 34 h 241"/>
              <a:gd name="T4" fmla="*/ 0 w 158"/>
              <a:gd name="T5" fmla="*/ 206 h 241"/>
              <a:gd name="T6" fmla="*/ 35 w 158"/>
              <a:gd name="T7" fmla="*/ 241 h 241"/>
              <a:gd name="T8" fmla="*/ 123 w 158"/>
              <a:gd name="T9" fmla="*/ 241 h 241"/>
              <a:gd name="T10" fmla="*/ 158 w 158"/>
              <a:gd name="T11" fmla="*/ 206 h 241"/>
              <a:gd name="T12" fmla="*/ 158 w 158"/>
              <a:gd name="T13" fmla="*/ 34 h 241"/>
              <a:gd name="T14" fmla="*/ 123 w 158"/>
              <a:gd name="T15" fmla="*/ 0 h 241"/>
              <a:gd name="T16" fmla="*/ 35 w 158"/>
              <a:gd name="T17" fmla="*/ 0 h 241"/>
              <a:gd name="T18" fmla="*/ 108 w 158"/>
              <a:gd name="T19" fmla="*/ 195 h 241"/>
              <a:gd name="T20" fmla="*/ 50 w 158"/>
              <a:gd name="T21" fmla="*/ 195 h 241"/>
              <a:gd name="T22" fmla="*/ 50 w 158"/>
              <a:gd name="T23" fmla="*/ 46 h 241"/>
              <a:gd name="T24" fmla="*/ 108 w 158"/>
              <a:gd name="T25" fmla="*/ 46 h 241"/>
              <a:gd name="T26" fmla="*/ 108 w 158"/>
              <a:gd name="T27" fmla="*/ 195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58" h="241">
                <a:moveTo>
                  <a:pt x="35" y="0"/>
                </a:moveTo>
                <a:lnTo>
                  <a:pt x="0" y="34"/>
                </a:lnTo>
                <a:lnTo>
                  <a:pt x="0" y="206"/>
                </a:lnTo>
                <a:lnTo>
                  <a:pt x="35" y="241"/>
                </a:lnTo>
                <a:lnTo>
                  <a:pt x="123" y="241"/>
                </a:lnTo>
                <a:lnTo>
                  <a:pt x="158" y="206"/>
                </a:lnTo>
                <a:lnTo>
                  <a:pt x="158" y="34"/>
                </a:lnTo>
                <a:lnTo>
                  <a:pt x="123" y="0"/>
                </a:lnTo>
                <a:lnTo>
                  <a:pt x="35" y="0"/>
                </a:lnTo>
                <a:close/>
                <a:moveTo>
                  <a:pt x="108" y="195"/>
                </a:moveTo>
                <a:lnTo>
                  <a:pt x="50" y="195"/>
                </a:lnTo>
                <a:lnTo>
                  <a:pt x="50" y="46"/>
                </a:lnTo>
                <a:lnTo>
                  <a:pt x="108" y="46"/>
                </a:lnTo>
                <a:lnTo>
                  <a:pt x="108" y="195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7" name="Freeform 15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>
            <a:spLocks/>
          </xdr:cNvSpPr>
        </xdr:nvSpPr>
        <xdr:spPr bwMode="auto">
          <a:xfrm>
            <a:off x="784" y="7986"/>
            <a:ext cx="120" cy="241"/>
          </a:xfrm>
          <a:custGeom>
            <a:avLst/>
            <a:gdLst>
              <a:gd name="T0" fmla="*/ 50 w 120"/>
              <a:gd name="T1" fmla="*/ 46 h 241"/>
              <a:gd name="T2" fmla="*/ 120 w 120"/>
              <a:gd name="T3" fmla="*/ 46 h 241"/>
              <a:gd name="T4" fmla="*/ 120 w 120"/>
              <a:gd name="T5" fmla="*/ 0 h 241"/>
              <a:gd name="T6" fmla="*/ 34 w 120"/>
              <a:gd name="T7" fmla="*/ 0 h 241"/>
              <a:gd name="T8" fmla="*/ 0 w 120"/>
              <a:gd name="T9" fmla="*/ 34 h 241"/>
              <a:gd name="T10" fmla="*/ 0 w 120"/>
              <a:gd name="T11" fmla="*/ 206 h 241"/>
              <a:gd name="T12" fmla="*/ 34 w 120"/>
              <a:gd name="T13" fmla="*/ 241 h 241"/>
              <a:gd name="T14" fmla="*/ 120 w 120"/>
              <a:gd name="T15" fmla="*/ 241 h 241"/>
              <a:gd name="T16" fmla="*/ 120 w 120"/>
              <a:gd name="T17" fmla="*/ 195 h 241"/>
              <a:gd name="T18" fmla="*/ 50 w 120"/>
              <a:gd name="T19" fmla="*/ 195 h 241"/>
              <a:gd name="T20" fmla="*/ 50 w 120"/>
              <a:gd name="T21" fmla="*/ 46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20" h="241">
                <a:moveTo>
                  <a:pt x="50" y="46"/>
                </a:moveTo>
                <a:lnTo>
                  <a:pt x="120" y="46"/>
                </a:lnTo>
                <a:lnTo>
                  <a:pt x="120" y="0"/>
                </a:lnTo>
                <a:lnTo>
                  <a:pt x="34" y="0"/>
                </a:lnTo>
                <a:lnTo>
                  <a:pt x="0" y="34"/>
                </a:lnTo>
                <a:lnTo>
                  <a:pt x="0" y="206"/>
                </a:lnTo>
                <a:lnTo>
                  <a:pt x="34" y="241"/>
                </a:lnTo>
                <a:lnTo>
                  <a:pt x="120" y="241"/>
                </a:lnTo>
                <a:lnTo>
                  <a:pt x="120" y="195"/>
                </a:lnTo>
                <a:lnTo>
                  <a:pt x="50" y="195"/>
                </a:lnTo>
                <a:lnTo>
                  <a:pt x="50" y="46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8" name="Freeform 16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>
            <a:spLocks noEditPoints="1"/>
          </xdr:cNvSpPr>
        </xdr:nvSpPr>
        <xdr:spPr bwMode="auto">
          <a:xfrm>
            <a:off x="1063" y="7986"/>
            <a:ext cx="159" cy="241"/>
          </a:xfrm>
          <a:custGeom>
            <a:avLst/>
            <a:gdLst>
              <a:gd name="T0" fmla="*/ 35 w 159"/>
              <a:gd name="T1" fmla="*/ 0 h 241"/>
              <a:gd name="T2" fmla="*/ 0 w 159"/>
              <a:gd name="T3" fmla="*/ 34 h 241"/>
              <a:gd name="T4" fmla="*/ 0 w 159"/>
              <a:gd name="T5" fmla="*/ 206 h 241"/>
              <a:gd name="T6" fmla="*/ 35 w 159"/>
              <a:gd name="T7" fmla="*/ 241 h 241"/>
              <a:gd name="T8" fmla="*/ 124 w 159"/>
              <a:gd name="T9" fmla="*/ 241 h 241"/>
              <a:gd name="T10" fmla="*/ 159 w 159"/>
              <a:gd name="T11" fmla="*/ 206 h 241"/>
              <a:gd name="T12" fmla="*/ 159 w 159"/>
              <a:gd name="T13" fmla="*/ 34 h 241"/>
              <a:gd name="T14" fmla="*/ 124 w 159"/>
              <a:gd name="T15" fmla="*/ 0 h 241"/>
              <a:gd name="T16" fmla="*/ 35 w 159"/>
              <a:gd name="T17" fmla="*/ 0 h 241"/>
              <a:gd name="T18" fmla="*/ 109 w 159"/>
              <a:gd name="T19" fmla="*/ 195 h 241"/>
              <a:gd name="T20" fmla="*/ 50 w 159"/>
              <a:gd name="T21" fmla="*/ 195 h 241"/>
              <a:gd name="T22" fmla="*/ 50 w 159"/>
              <a:gd name="T23" fmla="*/ 46 h 241"/>
              <a:gd name="T24" fmla="*/ 109 w 159"/>
              <a:gd name="T25" fmla="*/ 46 h 241"/>
              <a:gd name="T26" fmla="*/ 109 w 159"/>
              <a:gd name="T27" fmla="*/ 195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59" h="241">
                <a:moveTo>
                  <a:pt x="35" y="0"/>
                </a:moveTo>
                <a:lnTo>
                  <a:pt x="0" y="34"/>
                </a:lnTo>
                <a:lnTo>
                  <a:pt x="0" y="206"/>
                </a:lnTo>
                <a:lnTo>
                  <a:pt x="35" y="241"/>
                </a:lnTo>
                <a:lnTo>
                  <a:pt x="124" y="241"/>
                </a:lnTo>
                <a:lnTo>
                  <a:pt x="159" y="206"/>
                </a:lnTo>
                <a:lnTo>
                  <a:pt x="159" y="34"/>
                </a:lnTo>
                <a:lnTo>
                  <a:pt x="124" y="0"/>
                </a:lnTo>
                <a:lnTo>
                  <a:pt x="35" y="0"/>
                </a:lnTo>
                <a:close/>
                <a:moveTo>
                  <a:pt x="109" y="195"/>
                </a:moveTo>
                <a:lnTo>
                  <a:pt x="50" y="195"/>
                </a:lnTo>
                <a:lnTo>
                  <a:pt x="50" y="46"/>
                </a:lnTo>
                <a:lnTo>
                  <a:pt x="109" y="46"/>
                </a:lnTo>
                <a:lnTo>
                  <a:pt x="109" y="195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39" name="Freeform 17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>
            <a:spLocks noEditPoints="1"/>
          </xdr:cNvSpPr>
        </xdr:nvSpPr>
        <xdr:spPr bwMode="auto">
          <a:xfrm>
            <a:off x="1712" y="7986"/>
            <a:ext cx="149" cy="241"/>
          </a:xfrm>
          <a:custGeom>
            <a:avLst/>
            <a:gdLst>
              <a:gd name="T0" fmla="*/ 0 w 149"/>
              <a:gd name="T1" fmla="*/ 0 h 241"/>
              <a:gd name="T2" fmla="*/ 0 w 149"/>
              <a:gd name="T3" fmla="*/ 241 h 241"/>
              <a:gd name="T4" fmla="*/ 49 w 149"/>
              <a:gd name="T5" fmla="*/ 241 h 241"/>
              <a:gd name="T6" fmla="*/ 49 w 149"/>
              <a:gd name="T7" fmla="*/ 180 h 241"/>
              <a:gd name="T8" fmla="*/ 112 w 149"/>
              <a:gd name="T9" fmla="*/ 180 h 241"/>
              <a:gd name="T10" fmla="*/ 149 w 149"/>
              <a:gd name="T11" fmla="*/ 145 h 241"/>
              <a:gd name="T12" fmla="*/ 149 w 149"/>
              <a:gd name="T13" fmla="*/ 34 h 241"/>
              <a:gd name="T14" fmla="*/ 113 w 149"/>
              <a:gd name="T15" fmla="*/ 0 h 241"/>
              <a:gd name="T16" fmla="*/ 0 w 149"/>
              <a:gd name="T17" fmla="*/ 0 h 241"/>
              <a:gd name="T18" fmla="*/ 99 w 149"/>
              <a:gd name="T19" fmla="*/ 132 h 241"/>
              <a:gd name="T20" fmla="*/ 49 w 149"/>
              <a:gd name="T21" fmla="*/ 132 h 241"/>
              <a:gd name="T22" fmla="*/ 49 w 149"/>
              <a:gd name="T23" fmla="*/ 46 h 241"/>
              <a:gd name="T24" fmla="*/ 99 w 149"/>
              <a:gd name="T25" fmla="*/ 46 h 241"/>
              <a:gd name="T26" fmla="*/ 99 w 149"/>
              <a:gd name="T27" fmla="*/ 132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49" h="241">
                <a:moveTo>
                  <a:pt x="0" y="0"/>
                </a:moveTo>
                <a:lnTo>
                  <a:pt x="0" y="241"/>
                </a:lnTo>
                <a:lnTo>
                  <a:pt x="49" y="241"/>
                </a:lnTo>
                <a:lnTo>
                  <a:pt x="49" y="180"/>
                </a:lnTo>
                <a:lnTo>
                  <a:pt x="112" y="180"/>
                </a:lnTo>
                <a:lnTo>
                  <a:pt x="149" y="145"/>
                </a:lnTo>
                <a:lnTo>
                  <a:pt x="149" y="34"/>
                </a:lnTo>
                <a:lnTo>
                  <a:pt x="113" y="0"/>
                </a:lnTo>
                <a:lnTo>
                  <a:pt x="0" y="0"/>
                </a:lnTo>
                <a:close/>
                <a:moveTo>
                  <a:pt x="99" y="132"/>
                </a:moveTo>
                <a:lnTo>
                  <a:pt x="49" y="132"/>
                </a:lnTo>
                <a:lnTo>
                  <a:pt x="49" y="46"/>
                </a:lnTo>
                <a:lnTo>
                  <a:pt x="99" y="46"/>
                </a:lnTo>
                <a:lnTo>
                  <a:pt x="99" y="132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40" name="Freeform 18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>
            <a:spLocks/>
          </xdr:cNvSpPr>
        </xdr:nvSpPr>
        <xdr:spPr bwMode="auto">
          <a:xfrm>
            <a:off x="1253" y="7986"/>
            <a:ext cx="120" cy="241"/>
          </a:xfrm>
          <a:custGeom>
            <a:avLst/>
            <a:gdLst>
              <a:gd name="T0" fmla="*/ 50 w 120"/>
              <a:gd name="T1" fmla="*/ 46 h 241"/>
              <a:gd name="T2" fmla="*/ 120 w 120"/>
              <a:gd name="T3" fmla="*/ 46 h 241"/>
              <a:gd name="T4" fmla="*/ 120 w 120"/>
              <a:gd name="T5" fmla="*/ 0 h 241"/>
              <a:gd name="T6" fmla="*/ 35 w 120"/>
              <a:gd name="T7" fmla="*/ 0 h 241"/>
              <a:gd name="T8" fmla="*/ 0 w 120"/>
              <a:gd name="T9" fmla="*/ 34 h 241"/>
              <a:gd name="T10" fmla="*/ 0 w 120"/>
              <a:gd name="T11" fmla="*/ 206 h 241"/>
              <a:gd name="T12" fmla="*/ 35 w 120"/>
              <a:gd name="T13" fmla="*/ 241 h 241"/>
              <a:gd name="T14" fmla="*/ 120 w 120"/>
              <a:gd name="T15" fmla="*/ 241 h 241"/>
              <a:gd name="T16" fmla="*/ 120 w 120"/>
              <a:gd name="T17" fmla="*/ 195 h 241"/>
              <a:gd name="T18" fmla="*/ 50 w 120"/>
              <a:gd name="T19" fmla="*/ 195 h 241"/>
              <a:gd name="T20" fmla="*/ 50 w 120"/>
              <a:gd name="T21" fmla="*/ 46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20" h="241">
                <a:moveTo>
                  <a:pt x="50" y="46"/>
                </a:moveTo>
                <a:lnTo>
                  <a:pt x="120" y="46"/>
                </a:lnTo>
                <a:lnTo>
                  <a:pt x="120" y="0"/>
                </a:lnTo>
                <a:lnTo>
                  <a:pt x="35" y="0"/>
                </a:lnTo>
                <a:lnTo>
                  <a:pt x="0" y="34"/>
                </a:lnTo>
                <a:lnTo>
                  <a:pt x="0" y="206"/>
                </a:lnTo>
                <a:lnTo>
                  <a:pt x="35" y="241"/>
                </a:lnTo>
                <a:lnTo>
                  <a:pt x="120" y="241"/>
                </a:lnTo>
                <a:lnTo>
                  <a:pt x="120" y="195"/>
                </a:lnTo>
                <a:lnTo>
                  <a:pt x="50" y="195"/>
                </a:lnTo>
                <a:lnTo>
                  <a:pt x="50" y="46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41" name="Freeform 19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>
            <a:spLocks/>
          </xdr:cNvSpPr>
        </xdr:nvSpPr>
        <xdr:spPr bwMode="auto">
          <a:xfrm>
            <a:off x="1398" y="7986"/>
            <a:ext cx="121" cy="241"/>
          </a:xfrm>
          <a:custGeom>
            <a:avLst/>
            <a:gdLst>
              <a:gd name="T0" fmla="*/ 49 w 121"/>
              <a:gd name="T1" fmla="*/ 46 h 241"/>
              <a:gd name="T2" fmla="*/ 120 w 121"/>
              <a:gd name="T3" fmla="*/ 46 h 241"/>
              <a:gd name="T4" fmla="*/ 120 w 121"/>
              <a:gd name="T5" fmla="*/ 0 h 241"/>
              <a:gd name="T6" fmla="*/ 34 w 121"/>
              <a:gd name="T7" fmla="*/ 0 h 241"/>
              <a:gd name="T8" fmla="*/ 0 w 121"/>
              <a:gd name="T9" fmla="*/ 34 h 241"/>
              <a:gd name="T10" fmla="*/ 0 w 121"/>
              <a:gd name="T11" fmla="*/ 206 h 241"/>
              <a:gd name="T12" fmla="*/ 34 w 121"/>
              <a:gd name="T13" fmla="*/ 241 h 241"/>
              <a:gd name="T14" fmla="*/ 121 w 121"/>
              <a:gd name="T15" fmla="*/ 241 h 241"/>
              <a:gd name="T16" fmla="*/ 121 w 121"/>
              <a:gd name="T17" fmla="*/ 195 h 241"/>
              <a:gd name="T18" fmla="*/ 49 w 121"/>
              <a:gd name="T19" fmla="*/ 195 h 241"/>
              <a:gd name="T20" fmla="*/ 49 w 121"/>
              <a:gd name="T21" fmla="*/ 46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121" h="241">
                <a:moveTo>
                  <a:pt x="49" y="46"/>
                </a:moveTo>
                <a:lnTo>
                  <a:pt x="120" y="46"/>
                </a:lnTo>
                <a:lnTo>
                  <a:pt x="120" y="0"/>
                </a:lnTo>
                <a:lnTo>
                  <a:pt x="34" y="0"/>
                </a:lnTo>
                <a:lnTo>
                  <a:pt x="0" y="34"/>
                </a:lnTo>
                <a:lnTo>
                  <a:pt x="0" y="206"/>
                </a:lnTo>
                <a:lnTo>
                  <a:pt x="34" y="241"/>
                </a:lnTo>
                <a:lnTo>
                  <a:pt x="121" y="241"/>
                </a:lnTo>
                <a:lnTo>
                  <a:pt x="121" y="195"/>
                </a:lnTo>
                <a:lnTo>
                  <a:pt x="49" y="195"/>
                </a:lnTo>
                <a:lnTo>
                  <a:pt x="49" y="46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  <xdr:sp macro="" textlink="">
        <xdr:nvSpPr>
          <xdr:cNvPr id="42" name="Freeform 20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SpPr>
            <a:spLocks noEditPoints="1"/>
          </xdr:cNvSpPr>
        </xdr:nvSpPr>
        <xdr:spPr bwMode="auto">
          <a:xfrm>
            <a:off x="1870" y="7986"/>
            <a:ext cx="185" cy="241"/>
          </a:xfrm>
          <a:custGeom>
            <a:avLst/>
            <a:gdLst>
              <a:gd name="T0" fmla="*/ 135 w 185"/>
              <a:gd name="T1" fmla="*/ 241 h 241"/>
              <a:gd name="T2" fmla="*/ 185 w 185"/>
              <a:gd name="T3" fmla="*/ 241 h 241"/>
              <a:gd name="T4" fmla="*/ 135 w 185"/>
              <a:gd name="T5" fmla="*/ 0 h 241"/>
              <a:gd name="T6" fmla="*/ 50 w 185"/>
              <a:gd name="T7" fmla="*/ 0 h 241"/>
              <a:gd name="T8" fmla="*/ 0 w 185"/>
              <a:gd name="T9" fmla="*/ 241 h 241"/>
              <a:gd name="T10" fmla="*/ 48 w 185"/>
              <a:gd name="T11" fmla="*/ 241 h 241"/>
              <a:gd name="T12" fmla="*/ 60 w 185"/>
              <a:gd name="T13" fmla="*/ 183 h 241"/>
              <a:gd name="T14" fmla="*/ 123 w 185"/>
              <a:gd name="T15" fmla="*/ 183 h 241"/>
              <a:gd name="T16" fmla="*/ 135 w 185"/>
              <a:gd name="T17" fmla="*/ 241 h 241"/>
              <a:gd name="T18" fmla="*/ 69 w 185"/>
              <a:gd name="T19" fmla="*/ 138 h 241"/>
              <a:gd name="T20" fmla="*/ 87 w 185"/>
              <a:gd name="T21" fmla="*/ 46 h 241"/>
              <a:gd name="T22" fmla="*/ 96 w 185"/>
              <a:gd name="T23" fmla="*/ 46 h 241"/>
              <a:gd name="T24" fmla="*/ 114 w 185"/>
              <a:gd name="T25" fmla="*/ 138 h 241"/>
              <a:gd name="T26" fmla="*/ 69 w 185"/>
              <a:gd name="T27" fmla="*/ 138 h 2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85" h="241">
                <a:moveTo>
                  <a:pt x="135" y="241"/>
                </a:moveTo>
                <a:lnTo>
                  <a:pt x="185" y="241"/>
                </a:lnTo>
                <a:lnTo>
                  <a:pt x="135" y="0"/>
                </a:lnTo>
                <a:lnTo>
                  <a:pt x="50" y="0"/>
                </a:lnTo>
                <a:lnTo>
                  <a:pt x="0" y="241"/>
                </a:lnTo>
                <a:lnTo>
                  <a:pt x="48" y="241"/>
                </a:lnTo>
                <a:lnTo>
                  <a:pt x="60" y="183"/>
                </a:lnTo>
                <a:lnTo>
                  <a:pt x="123" y="183"/>
                </a:lnTo>
                <a:lnTo>
                  <a:pt x="135" y="241"/>
                </a:lnTo>
                <a:close/>
                <a:moveTo>
                  <a:pt x="69" y="138"/>
                </a:moveTo>
                <a:lnTo>
                  <a:pt x="87" y="46"/>
                </a:lnTo>
                <a:lnTo>
                  <a:pt x="96" y="46"/>
                </a:lnTo>
                <a:lnTo>
                  <a:pt x="114" y="138"/>
                </a:lnTo>
                <a:lnTo>
                  <a:pt x="69" y="138"/>
                </a:lnTo>
                <a:close/>
              </a:path>
            </a:pathLst>
          </a:custGeom>
          <a:solidFill>
            <a:srgbClr val="50525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 marL="0" marR="0" indent="0" algn="l" defTabSz="9144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1800" b="0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</a:defRPr>
            </a:defPPr>
            <a:lvl1pPr marL="0" marR="0" indent="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1pPr>
            <a:lvl2pPr marL="0" marR="0" indent="228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2pPr>
            <a:lvl3pPr marL="0" marR="0" indent="457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3pPr>
            <a:lvl4pPr marL="0" marR="0" indent="685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4pPr>
            <a:lvl5pPr marL="0" marR="0" indent="9144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5pPr>
            <a:lvl6pPr marL="0" marR="0" indent="11430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6pPr>
            <a:lvl7pPr marL="0" marR="0" indent="13716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7pPr>
            <a:lvl8pPr marL="0" marR="0" indent="16002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8pPr>
            <a:lvl9pPr marL="0" marR="0" indent="1828800" algn="ctr" defTabSz="8255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kumimoji="0" sz="3000" b="1" i="0" u="none" strike="noStrike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FillTx/>
                <a:latin typeface="Helvetica Neue"/>
                <a:ea typeface="Helvetica Neue"/>
                <a:cs typeface="Helvetica Neue"/>
                <a:sym typeface="Helvetica Neue"/>
              </a:defRPr>
            </a:lvl9pPr>
          </a:lstStyle>
          <a:p>
            <a:endParaRPr lang="ru-RU"/>
          </a:p>
        </xdr:txBody>
      </xdr:sp>
    </xdr:grpSp>
    <xdr:clientData/>
  </xdr:twoCellAnchor>
  <xdr:twoCellAnchor>
    <xdr:from>
      <xdr:col>1</xdr:col>
      <xdr:colOff>57049</xdr:colOff>
      <xdr:row>9</xdr:row>
      <xdr:rowOff>142993</xdr:rowOff>
    </xdr:from>
    <xdr:to>
      <xdr:col>1</xdr:col>
      <xdr:colOff>1172488</xdr:colOff>
      <xdr:row>9</xdr:row>
      <xdr:rowOff>1146072</xdr:rowOff>
    </xdr:to>
    <xdr:grpSp>
      <xdr:nvGrpSpPr>
        <xdr:cNvPr id="57" name="Группа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pSpPr/>
      </xdr:nvGrpSpPr>
      <xdr:grpSpPr>
        <a:xfrm>
          <a:off x="492478" y="2075207"/>
          <a:ext cx="1115439" cy="1003079"/>
          <a:chOff x="10447982" y="11278171"/>
          <a:chExt cx="1466850" cy="1154113"/>
        </a:xfrm>
      </xdr:grpSpPr>
      <xdr:sp macro="" textlink="">
        <xdr:nvSpPr>
          <xdr:cNvPr id="58" name="Freeform 610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>
            <a:spLocks/>
          </xdr:cNvSpPr>
        </xdr:nvSpPr>
        <xdr:spPr bwMode="auto">
          <a:xfrm>
            <a:off x="11044882" y="11883009"/>
            <a:ext cx="120650" cy="107950"/>
          </a:xfrm>
          <a:custGeom>
            <a:avLst/>
            <a:gdLst>
              <a:gd name="T0" fmla="*/ 121 w 151"/>
              <a:gd name="T1" fmla="*/ 134 h 134"/>
              <a:gd name="T2" fmla="*/ 0 w 151"/>
              <a:gd name="T3" fmla="*/ 64 h 134"/>
              <a:gd name="T4" fmla="*/ 111 w 151"/>
              <a:gd name="T5" fmla="*/ 0 h 134"/>
              <a:gd name="T6" fmla="*/ 111 w 151"/>
              <a:gd name="T7" fmla="*/ 0 h 134"/>
              <a:gd name="T8" fmla="*/ 119 w 151"/>
              <a:gd name="T9" fmla="*/ 7 h 134"/>
              <a:gd name="T10" fmla="*/ 133 w 151"/>
              <a:gd name="T11" fmla="*/ 18 h 134"/>
              <a:gd name="T12" fmla="*/ 139 w 151"/>
              <a:gd name="T13" fmla="*/ 27 h 134"/>
              <a:gd name="T14" fmla="*/ 144 w 151"/>
              <a:gd name="T15" fmla="*/ 37 h 134"/>
              <a:gd name="T16" fmla="*/ 149 w 151"/>
              <a:gd name="T17" fmla="*/ 49 h 134"/>
              <a:gd name="T18" fmla="*/ 151 w 151"/>
              <a:gd name="T19" fmla="*/ 62 h 134"/>
              <a:gd name="T20" fmla="*/ 151 w 151"/>
              <a:gd name="T21" fmla="*/ 62 h 134"/>
              <a:gd name="T22" fmla="*/ 151 w 151"/>
              <a:gd name="T23" fmla="*/ 77 h 134"/>
              <a:gd name="T24" fmla="*/ 149 w 151"/>
              <a:gd name="T25" fmla="*/ 91 h 134"/>
              <a:gd name="T26" fmla="*/ 144 w 151"/>
              <a:gd name="T27" fmla="*/ 103 h 134"/>
              <a:gd name="T28" fmla="*/ 139 w 151"/>
              <a:gd name="T29" fmla="*/ 113 h 134"/>
              <a:gd name="T30" fmla="*/ 133 w 151"/>
              <a:gd name="T31" fmla="*/ 121 h 134"/>
              <a:gd name="T32" fmla="*/ 127 w 151"/>
              <a:gd name="T33" fmla="*/ 128 h 134"/>
              <a:gd name="T34" fmla="*/ 121 w 151"/>
              <a:gd name="T35" fmla="*/ 134 h 134"/>
              <a:gd name="T36" fmla="*/ 121 w 151"/>
              <a:gd name="T37" fmla="*/ 134 h 1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151" h="134">
                <a:moveTo>
                  <a:pt x="121" y="134"/>
                </a:moveTo>
                <a:lnTo>
                  <a:pt x="0" y="64"/>
                </a:lnTo>
                <a:lnTo>
                  <a:pt x="111" y="0"/>
                </a:lnTo>
                <a:lnTo>
                  <a:pt x="111" y="0"/>
                </a:lnTo>
                <a:lnTo>
                  <a:pt x="119" y="7"/>
                </a:lnTo>
                <a:lnTo>
                  <a:pt x="133" y="18"/>
                </a:lnTo>
                <a:lnTo>
                  <a:pt x="139" y="27"/>
                </a:lnTo>
                <a:lnTo>
                  <a:pt x="144" y="37"/>
                </a:lnTo>
                <a:lnTo>
                  <a:pt x="149" y="49"/>
                </a:lnTo>
                <a:lnTo>
                  <a:pt x="151" y="62"/>
                </a:lnTo>
                <a:lnTo>
                  <a:pt x="151" y="62"/>
                </a:lnTo>
                <a:lnTo>
                  <a:pt x="151" y="77"/>
                </a:lnTo>
                <a:lnTo>
                  <a:pt x="149" y="91"/>
                </a:lnTo>
                <a:lnTo>
                  <a:pt x="144" y="103"/>
                </a:lnTo>
                <a:lnTo>
                  <a:pt x="139" y="113"/>
                </a:lnTo>
                <a:lnTo>
                  <a:pt x="133" y="121"/>
                </a:lnTo>
                <a:lnTo>
                  <a:pt x="127" y="128"/>
                </a:lnTo>
                <a:lnTo>
                  <a:pt x="121" y="134"/>
                </a:lnTo>
                <a:lnTo>
                  <a:pt x="121" y="134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59" name="Freeform 611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>
            <a:spLocks/>
          </xdr:cNvSpPr>
        </xdr:nvSpPr>
        <xdr:spPr bwMode="auto">
          <a:xfrm>
            <a:off x="11489382" y="11633771"/>
            <a:ext cx="153988" cy="69850"/>
          </a:xfrm>
          <a:custGeom>
            <a:avLst/>
            <a:gdLst>
              <a:gd name="T0" fmla="*/ 195 w 195"/>
              <a:gd name="T1" fmla="*/ 54 h 88"/>
              <a:gd name="T2" fmla="*/ 195 w 195"/>
              <a:gd name="T3" fmla="*/ 54 h 88"/>
              <a:gd name="T4" fmla="*/ 182 w 195"/>
              <a:gd name="T5" fmla="*/ 63 h 88"/>
              <a:gd name="T6" fmla="*/ 161 w 195"/>
              <a:gd name="T7" fmla="*/ 74 h 88"/>
              <a:gd name="T8" fmla="*/ 150 w 195"/>
              <a:gd name="T9" fmla="*/ 79 h 88"/>
              <a:gd name="T10" fmla="*/ 136 w 195"/>
              <a:gd name="T11" fmla="*/ 83 h 88"/>
              <a:gd name="T12" fmla="*/ 121 w 195"/>
              <a:gd name="T13" fmla="*/ 86 h 88"/>
              <a:gd name="T14" fmla="*/ 104 w 195"/>
              <a:gd name="T15" fmla="*/ 88 h 88"/>
              <a:gd name="T16" fmla="*/ 104 w 195"/>
              <a:gd name="T17" fmla="*/ 88 h 88"/>
              <a:gd name="T18" fmla="*/ 86 w 195"/>
              <a:gd name="T19" fmla="*/ 88 h 88"/>
              <a:gd name="T20" fmla="*/ 67 w 195"/>
              <a:gd name="T21" fmla="*/ 86 h 88"/>
              <a:gd name="T22" fmla="*/ 50 w 195"/>
              <a:gd name="T23" fmla="*/ 83 h 88"/>
              <a:gd name="T24" fmla="*/ 37 w 195"/>
              <a:gd name="T25" fmla="*/ 78 h 88"/>
              <a:gd name="T26" fmla="*/ 24 w 195"/>
              <a:gd name="T27" fmla="*/ 73 h 88"/>
              <a:gd name="T28" fmla="*/ 13 w 195"/>
              <a:gd name="T29" fmla="*/ 68 h 88"/>
              <a:gd name="T30" fmla="*/ 0 w 195"/>
              <a:gd name="T31" fmla="*/ 58 h 88"/>
              <a:gd name="T32" fmla="*/ 101 w 195"/>
              <a:gd name="T33" fmla="*/ 0 h 88"/>
              <a:gd name="T34" fmla="*/ 195 w 195"/>
              <a:gd name="T35" fmla="*/ 54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195" h="88">
                <a:moveTo>
                  <a:pt x="195" y="54"/>
                </a:moveTo>
                <a:lnTo>
                  <a:pt x="195" y="54"/>
                </a:lnTo>
                <a:lnTo>
                  <a:pt x="182" y="63"/>
                </a:lnTo>
                <a:lnTo>
                  <a:pt x="161" y="74"/>
                </a:lnTo>
                <a:lnTo>
                  <a:pt x="150" y="79"/>
                </a:lnTo>
                <a:lnTo>
                  <a:pt x="136" y="83"/>
                </a:lnTo>
                <a:lnTo>
                  <a:pt x="121" y="86"/>
                </a:lnTo>
                <a:lnTo>
                  <a:pt x="104" y="88"/>
                </a:lnTo>
                <a:lnTo>
                  <a:pt x="104" y="88"/>
                </a:lnTo>
                <a:lnTo>
                  <a:pt x="86" y="88"/>
                </a:lnTo>
                <a:lnTo>
                  <a:pt x="67" y="86"/>
                </a:lnTo>
                <a:lnTo>
                  <a:pt x="50" y="83"/>
                </a:lnTo>
                <a:lnTo>
                  <a:pt x="37" y="78"/>
                </a:lnTo>
                <a:lnTo>
                  <a:pt x="24" y="73"/>
                </a:lnTo>
                <a:lnTo>
                  <a:pt x="13" y="68"/>
                </a:lnTo>
                <a:lnTo>
                  <a:pt x="0" y="58"/>
                </a:lnTo>
                <a:lnTo>
                  <a:pt x="101" y="0"/>
                </a:lnTo>
                <a:lnTo>
                  <a:pt x="195" y="54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60" name="Freeform 612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>
            <a:spLocks/>
          </xdr:cNvSpPr>
        </xdr:nvSpPr>
        <xdr:spPr bwMode="auto">
          <a:xfrm>
            <a:off x="11791007" y="11779821"/>
            <a:ext cx="114300" cy="103188"/>
          </a:xfrm>
          <a:custGeom>
            <a:avLst/>
            <a:gdLst>
              <a:gd name="T0" fmla="*/ 145 w 145"/>
              <a:gd name="T1" fmla="*/ 60 h 131"/>
              <a:gd name="T2" fmla="*/ 24 w 145"/>
              <a:gd name="T3" fmla="*/ 131 h 131"/>
              <a:gd name="T4" fmla="*/ 24 w 145"/>
              <a:gd name="T5" fmla="*/ 131 h 131"/>
              <a:gd name="T6" fmla="*/ 17 w 145"/>
              <a:gd name="T7" fmla="*/ 121 h 131"/>
              <a:gd name="T8" fmla="*/ 12 w 145"/>
              <a:gd name="T9" fmla="*/ 112 h 131"/>
              <a:gd name="T10" fmla="*/ 7 w 145"/>
              <a:gd name="T11" fmla="*/ 102 h 131"/>
              <a:gd name="T12" fmla="*/ 3 w 145"/>
              <a:gd name="T13" fmla="*/ 89 h 131"/>
              <a:gd name="T14" fmla="*/ 0 w 145"/>
              <a:gd name="T15" fmla="*/ 75 h 131"/>
              <a:gd name="T16" fmla="*/ 0 w 145"/>
              <a:gd name="T17" fmla="*/ 60 h 131"/>
              <a:gd name="T18" fmla="*/ 3 w 145"/>
              <a:gd name="T19" fmla="*/ 43 h 131"/>
              <a:gd name="T20" fmla="*/ 3 w 145"/>
              <a:gd name="T21" fmla="*/ 43 h 131"/>
              <a:gd name="T22" fmla="*/ 9 w 145"/>
              <a:gd name="T23" fmla="*/ 35 h 131"/>
              <a:gd name="T24" fmla="*/ 12 w 145"/>
              <a:gd name="T25" fmla="*/ 27 h 131"/>
              <a:gd name="T26" fmla="*/ 22 w 145"/>
              <a:gd name="T27" fmla="*/ 13 h 131"/>
              <a:gd name="T28" fmla="*/ 32 w 145"/>
              <a:gd name="T29" fmla="*/ 5 h 131"/>
              <a:gd name="T30" fmla="*/ 39 w 145"/>
              <a:gd name="T31" fmla="*/ 0 h 131"/>
              <a:gd name="T32" fmla="*/ 145 w 145"/>
              <a:gd name="T33" fmla="*/ 60 h 1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45" h="131">
                <a:moveTo>
                  <a:pt x="145" y="60"/>
                </a:moveTo>
                <a:lnTo>
                  <a:pt x="24" y="131"/>
                </a:lnTo>
                <a:lnTo>
                  <a:pt x="24" y="131"/>
                </a:lnTo>
                <a:lnTo>
                  <a:pt x="17" y="121"/>
                </a:lnTo>
                <a:lnTo>
                  <a:pt x="12" y="112"/>
                </a:lnTo>
                <a:lnTo>
                  <a:pt x="7" y="102"/>
                </a:lnTo>
                <a:lnTo>
                  <a:pt x="3" y="89"/>
                </a:lnTo>
                <a:lnTo>
                  <a:pt x="0" y="75"/>
                </a:lnTo>
                <a:lnTo>
                  <a:pt x="0" y="60"/>
                </a:lnTo>
                <a:lnTo>
                  <a:pt x="3" y="43"/>
                </a:lnTo>
                <a:lnTo>
                  <a:pt x="3" y="43"/>
                </a:lnTo>
                <a:lnTo>
                  <a:pt x="9" y="35"/>
                </a:lnTo>
                <a:lnTo>
                  <a:pt x="12" y="27"/>
                </a:lnTo>
                <a:lnTo>
                  <a:pt x="22" y="13"/>
                </a:lnTo>
                <a:lnTo>
                  <a:pt x="32" y="5"/>
                </a:lnTo>
                <a:lnTo>
                  <a:pt x="39" y="0"/>
                </a:lnTo>
                <a:lnTo>
                  <a:pt x="145" y="60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61" name="Freeform 613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>
            <a:spLocks/>
          </xdr:cNvSpPr>
        </xdr:nvSpPr>
        <xdr:spPr bwMode="auto">
          <a:xfrm>
            <a:off x="11305232" y="12065571"/>
            <a:ext cx="153988" cy="61913"/>
          </a:xfrm>
          <a:custGeom>
            <a:avLst/>
            <a:gdLst>
              <a:gd name="T0" fmla="*/ 193 w 193"/>
              <a:gd name="T1" fmla="*/ 23 h 79"/>
              <a:gd name="T2" fmla="*/ 193 w 193"/>
              <a:gd name="T3" fmla="*/ 23 h 79"/>
              <a:gd name="T4" fmla="*/ 97 w 193"/>
              <a:gd name="T5" fmla="*/ 79 h 79"/>
              <a:gd name="T6" fmla="*/ 0 w 193"/>
              <a:gd name="T7" fmla="*/ 23 h 79"/>
              <a:gd name="T8" fmla="*/ 0 w 193"/>
              <a:gd name="T9" fmla="*/ 23 h 79"/>
              <a:gd name="T10" fmla="*/ 16 w 193"/>
              <a:gd name="T11" fmla="*/ 16 h 79"/>
              <a:gd name="T12" fmla="*/ 38 w 193"/>
              <a:gd name="T13" fmla="*/ 8 h 79"/>
              <a:gd name="T14" fmla="*/ 52 w 193"/>
              <a:gd name="T15" fmla="*/ 5 h 79"/>
              <a:gd name="T16" fmla="*/ 67 w 193"/>
              <a:gd name="T17" fmla="*/ 3 h 79"/>
              <a:gd name="T18" fmla="*/ 84 w 193"/>
              <a:gd name="T19" fmla="*/ 1 h 79"/>
              <a:gd name="T20" fmla="*/ 101 w 193"/>
              <a:gd name="T21" fmla="*/ 0 h 79"/>
              <a:gd name="T22" fmla="*/ 101 w 193"/>
              <a:gd name="T23" fmla="*/ 0 h 79"/>
              <a:gd name="T24" fmla="*/ 116 w 193"/>
              <a:gd name="T25" fmla="*/ 1 h 79"/>
              <a:gd name="T26" fmla="*/ 131 w 193"/>
              <a:gd name="T27" fmla="*/ 3 h 79"/>
              <a:gd name="T28" fmla="*/ 158 w 193"/>
              <a:gd name="T29" fmla="*/ 10 h 79"/>
              <a:gd name="T30" fmla="*/ 178 w 193"/>
              <a:gd name="T31" fmla="*/ 16 h 79"/>
              <a:gd name="T32" fmla="*/ 193 w 193"/>
              <a:gd name="T33" fmla="*/ 23 h 79"/>
              <a:gd name="T34" fmla="*/ 193 w 193"/>
              <a:gd name="T35" fmla="*/ 23 h 7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193" h="79">
                <a:moveTo>
                  <a:pt x="193" y="23"/>
                </a:moveTo>
                <a:lnTo>
                  <a:pt x="193" y="23"/>
                </a:lnTo>
                <a:lnTo>
                  <a:pt x="97" y="79"/>
                </a:lnTo>
                <a:lnTo>
                  <a:pt x="0" y="23"/>
                </a:lnTo>
                <a:lnTo>
                  <a:pt x="0" y="23"/>
                </a:lnTo>
                <a:lnTo>
                  <a:pt x="16" y="16"/>
                </a:lnTo>
                <a:lnTo>
                  <a:pt x="38" y="8"/>
                </a:lnTo>
                <a:lnTo>
                  <a:pt x="52" y="5"/>
                </a:lnTo>
                <a:lnTo>
                  <a:pt x="67" y="3"/>
                </a:lnTo>
                <a:lnTo>
                  <a:pt x="84" y="1"/>
                </a:lnTo>
                <a:lnTo>
                  <a:pt x="101" y="0"/>
                </a:lnTo>
                <a:lnTo>
                  <a:pt x="101" y="0"/>
                </a:lnTo>
                <a:lnTo>
                  <a:pt x="116" y="1"/>
                </a:lnTo>
                <a:lnTo>
                  <a:pt x="131" y="3"/>
                </a:lnTo>
                <a:lnTo>
                  <a:pt x="158" y="10"/>
                </a:lnTo>
                <a:lnTo>
                  <a:pt x="178" y="16"/>
                </a:lnTo>
                <a:lnTo>
                  <a:pt x="193" y="23"/>
                </a:lnTo>
                <a:lnTo>
                  <a:pt x="193" y="23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62" name="Freeform 614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>
            <a:spLocks/>
          </xdr:cNvSpPr>
        </xdr:nvSpPr>
        <xdr:spPr bwMode="auto">
          <a:xfrm>
            <a:off x="10462269" y="11538521"/>
            <a:ext cx="120650" cy="106363"/>
          </a:xfrm>
          <a:custGeom>
            <a:avLst/>
            <a:gdLst>
              <a:gd name="T0" fmla="*/ 121 w 151"/>
              <a:gd name="T1" fmla="*/ 135 h 135"/>
              <a:gd name="T2" fmla="*/ 0 w 151"/>
              <a:gd name="T3" fmla="*/ 64 h 135"/>
              <a:gd name="T4" fmla="*/ 111 w 151"/>
              <a:gd name="T5" fmla="*/ 0 h 135"/>
              <a:gd name="T6" fmla="*/ 111 w 151"/>
              <a:gd name="T7" fmla="*/ 0 h 135"/>
              <a:gd name="T8" fmla="*/ 119 w 151"/>
              <a:gd name="T9" fmla="*/ 7 h 135"/>
              <a:gd name="T10" fmla="*/ 133 w 151"/>
              <a:gd name="T11" fmla="*/ 19 h 135"/>
              <a:gd name="T12" fmla="*/ 138 w 151"/>
              <a:gd name="T13" fmla="*/ 27 h 135"/>
              <a:gd name="T14" fmla="*/ 144 w 151"/>
              <a:gd name="T15" fmla="*/ 37 h 135"/>
              <a:gd name="T16" fmla="*/ 148 w 151"/>
              <a:gd name="T17" fmla="*/ 49 h 135"/>
              <a:gd name="T18" fmla="*/ 151 w 151"/>
              <a:gd name="T19" fmla="*/ 63 h 135"/>
              <a:gd name="T20" fmla="*/ 151 w 151"/>
              <a:gd name="T21" fmla="*/ 63 h 135"/>
              <a:gd name="T22" fmla="*/ 151 w 151"/>
              <a:gd name="T23" fmla="*/ 78 h 135"/>
              <a:gd name="T24" fmla="*/ 148 w 151"/>
              <a:gd name="T25" fmla="*/ 91 h 135"/>
              <a:gd name="T26" fmla="*/ 144 w 151"/>
              <a:gd name="T27" fmla="*/ 103 h 135"/>
              <a:gd name="T28" fmla="*/ 138 w 151"/>
              <a:gd name="T29" fmla="*/ 113 h 135"/>
              <a:gd name="T30" fmla="*/ 133 w 151"/>
              <a:gd name="T31" fmla="*/ 121 h 135"/>
              <a:gd name="T32" fmla="*/ 127 w 151"/>
              <a:gd name="T33" fmla="*/ 128 h 135"/>
              <a:gd name="T34" fmla="*/ 121 w 151"/>
              <a:gd name="T35" fmla="*/ 135 h 135"/>
              <a:gd name="T36" fmla="*/ 121 w 151"/>
              <a:gd name="T37" fmla="*/ 135 h 1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151" h="135">
                <a:moveTo>
                  <a:pt x="121" y="135"/>
                </a:moveTo>
                <a:lnTo>
                  <a:pt x="0" y="64"/>
                </a:lnTo>
                <a:lnTo>
                  <a:pt x="111" y="0"/>
                </a:lnTo>
                <a:lnTo>
                  <a:pt x="111" y="0"/>
                </a:lnTo>
                <a:lnTo>
                  <a:pt x="119" y="7"/>
                </a:lnTo>
                <a:lnTo>
                  <a:pt x="133" y="19"/>
                </a:lnTo>
                <a:lnTo>
                  <a:pt x="138" y="27"/>
                </a:lnTo>
                <a:lnTo>
                  <a:pt x="144" y="37"/>
                </a:lnTo>
                <a:lnTo>
                  <a:pt x="148" y="49"/>
                </a:lnTo>
                <a:lnTo>
                  <a:pt x="151" y="63"/>
                </a:lnTo>
                <a:lnTo>
                  <a:pt x="151" y="63"/>
                </a:lnTo>
                <a:lnTo>
                  <a:pt x="151" y="78"/>
                </a:lnTo>
                <a:lnTo>
                  <a:pt x="148" y="91"/>
                </a:lnTo>
                <a:lnTo>
                  <a:pt x="144" y="103"/>
                </a:lnTo>
                <a:lnTo>
                  <a:pt x="138" y="113"/>
                </a:lnTo>
                <a:lnTo>
                  <a:pt x="133" y="121"/>
                </a:lnTo>
                <a:lnTo>
                  <a:pt x="127" y="128"/>
                </a:lnTo>
                <a:lnTo>
                  <a:pt x="121" y="135"/>
                </a:lnTo>
                <a:lnTo>
                  <a:pt x="121" y="135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63" name="Freeform 615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SpPr>
            <a:spLocks/>
          </xdr:cNvSpPr>
        </xdr:nvSpPr>
        <xdr:spPr bwMode="auto">
          <a:xfrm>
            <a:off x="10905182" y="11287696"/>
            <a:ext cx="153988" cy="69850"/>
          </a:xfrm>
          <a:custGeom>
            <a:avLst/>
            <a:gdLst>
              <a:gd name="T0" fmla="*/ 193 w 193"/>
              <a:gd name="T1" fmla="*/ 54 h 87"/>
              <a:gd name="T2" fmla="*/ 193 w 193"/>
              <a:gd name="T3" fmla="*/ 54 h 87"/>
              <a:gd name="T4" fmla="*/ 182 w 193"/>
              <a:gd name="T5" fmla="*/ 62 h 87"/>
              <a:gd name="T6" fmla="*/ 161 w 193"/>
              <a:gd name="T7" fmla="*/ 72 h 87"/>
              <a:gd name="T8" fmla="*/ 150 w 193"/>
              <a:gd name="T9" fmla="*/ 77 h 87"/>
              <a:gd name="T10" fmla="*/ 136 w 193"/>
              <a:gd name="T11" fmla="*/ 82 h 87"/>
              <a:gd name="T12" fmla="*/ 121 w 193"/>
              <a:gd name="T13" fmla="*/ 86 h 87"/>
              <a:gd name="T14" fmla="*/ 104 w 193"/>
              <a:gd name="T15" fmla="*/ 87 h 87"/>
              <a:gd name="T16" fmla="*/ 104 w 193"/>
              <a:gd name="T17" fmla="*/ 87 h 87"/>
              <a:gd name="T18" fmla="*/ 84 w 193"/>
              <a:gd name="T19" fmla="*/ 87 h 87"/>
              <a:gd name="T20" fmla="*/ 67 w 193"/>
              <a:gd name="T21" fmla="*/ 86 h 87"/>
              <a:gd name="T22" fmla="*/ 50 w 193"/>
              <a:gd name="T23" fmla="*/ 82 h 87"/>
              <a:gd name="T24" fmla="*/ 35 w 193"/>
              <a:gd name="T25" fmla="*/ 77 h 87"/>
              <a:gd name="T26" fmla="*/ 24 w 193"/>
              <a:gd name="T27" fmla="*/ 72 h 87"/>
              <a:gd name="T28" fmla="*/ 13 w 193"/>
              <a:gd name="T29" fmla="*/ 67 h 87"/>
              <a:gd name="T30" fmla="*/ 0 w 193"/>
              <a:gd name="T31" fmla="*/ 57 h 87"/>
              <a:gd name="T32" fmla="*/ 101 w 193"/>
              <a:gd name="T33" fmla="*/ 0 h 87"/>
              <a:gd name="T34" fmla="*/ 193 w 193"/>
              <a:gd name="T35" fmla="*/ 54 h 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193" h="87">
                <a:moveTo>
                  <a:pt x="193" y="54"/>
                </a:moveTo>
                <a:lnTo>
                  <a:pt x="193" y="54"/>
                </a:lnTo>
                <a:lnTo>
                  <a:pt x="182" y="62"/>
                </a:lnTo>
                <a:lnTo>
                  <a:pt x="161" y="72"/>
                </a:lnTo>
                <a:lnTo>
                  <a:pt x="150" y="77"/>
                </a:lnTo>
                <a:lnTo>
                  <a:pt x="136" y="82"/>
                </a:lnTo>
                <a:lnTo>
                  <a:pt x="121" y="86"/>
                </a:lnTo>
                <a:lnTo>
                  <a:pt x="104" y="87"/>
                </a:lnTo>
                <a:lnTo>
                  <a:pt x="104" y="87"/>
                </a:lnTo>
                <a:lnTo>
                  <a:pt x="84" y="87"/>
                </a:lnTo>
                <a:lnTo>
                  <a:pt x="67" y="86"/>
                </a:lnTo>
                <a:lnTo>
                  <a:pt x="50" y="82"/>
                </a:lnTo>
                <a:lnTo>
                  <a:pt x="35" y="77"/>
                </a:lnTo>
                <a:lnTo>
                  <a:pt x="24" y="72"/>
                </a:lnTo>
                <a:lnTo>
                  <a:pt x="13" y="67"/>
                </a:lnTo>
                <a:lnTo>
                  <a:pt x="0" y="57"/>
                </a:lnTo>
                <a:lnTo>
                  <a:pt x="101" y="0"/>
                </a:lnTo>
                <a:lnTo>
                  <a:pt x="193" y="54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64" name="Freeform 616">
            <a:extLst>
              <a:ext uri="{FF2B5EF4-FFF2-40B4-BE49-F238E27FC236}">
                <a16:creationId xmlns:a16="http://schemas.microsoft.com/office/drawing/2014/main" id="{00000000-0008-0000-0400-000040000000}"/>
              </a:ext>
            </a:extLst>
          </xdr:cNvPr>
          <xdr:cNvSpPr>
            <a:spLocks/>
          </xdr:cNvSpPr>
        </xdr:nvSpPr>
        <xdr:spPr bwMode="auto">
          <a:xfrm>
            <a:off x="11206807" y="11433746"/>
            <a:ext cx="114300" cy="103188"/>
          </a:xfrm>
          <a:custGeom>
            <a:avLst/>
            <a:gdLst>
              <a:gd name="T0" fmla="*/ 145 w 145"/>
              <a:gd name="T1" fmla="*/ 61 h 130"/>
              <a:gd name="T2" fmla="*/ 22 w 145"/>
              <a:gd name="T3" fmla="*/ 130 h 130"/>
              <a:gd name="T4" fmla="*/ 22 w 145"/>
              <a:gd name="T5" fmla="*/ 130 h 130"/>
              <a:gd name="T6" fmla="*/ 17 w 145"/>
              <a:gd name="T7" fmla="*/ 121 h 130"/>
              <a:gd name="T8" fmla="*/ 12 w 145"/>
              <a:gd name="T9" fmla="*/ 113 h 130"/>
              <a:gd name="T10" fmla="*/ 7 w 145"/>
              <a:gd name="T11" fmla="*/ 103 h 130"/>
              <a:gd name="T12" fmla="*/ 2 w 145"/>
              <a:gd name="T13" fmla="*/ 89 h 130"/>
              <a:gd name="T14" fmla="*/ 0 w 145"/>
              <a:gd name="T15" fmla="*/ 76 h 130"/>
              <a:gd name="T16" fmla="*/ 0 w 145"/>
              <a:gd name="T17" fmla="*/ 61 h 130"/>
              <a:gd name="T18" fmla="*/ 4 w 145"/>
              <a:gd name="T19" fmla="*/ 44 h 130"/>
              <a:gd name="T20" fmla="*/ 4 w 145"/>
              <a:gd name="T21" fmla="*/ 44 h 130"/>
              <a:gd name="T22" fmla="*/ 7 w 145"/>
              <a:gd name="T23" fmla="*/ 35 h 130"/>
              <a:gd name="T24" fmla="*/ 12 w 145"/>
              <a:gd name="T25" fmla="*/ 27 h 130"/>
              <a:gd name="T26" fmla="*/ 20 w 145"/>
              <a:gd name="T27" fmla="*/ 14 h 130"/>
              <a:gd name="T28" fmla="*/ 30 w 145"/>
              <a:gd name="T29" fmla="*/ 5 h 130"/>
              <a:gd name="T30" fmla="*/ 39 w 145"/>
              <a:gd name="T31" fmla="*/ 0 h 130"/>
              <a:gd name="T32" fmla="*/ 145 w 145"/>
              <a:gd name="T33" fmla="*/ 61 h 13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45" h="130">
                <a:moveTo>
                  <a:pt x="145" y="61"/>
                </a:moveTo>
                <a:lnTo>
                  <a:pt x="22" y="130"/>
                </a:lnTo>
                <a:lnTo>
                  <a:pt x="22" y="130"/>
                </a:lnTo>
                <a:lnTo>
                  <a:pt x="17" y="121"/>
                </a:lnTo>
                <a:lnTo>
                  <a:pt x="12" y="113"/>
                </a:lnTo>
                <a:lnTo>
                  <a:pt x="7" y="103"/>
                </a:lnTo>
                <a:lnTo>
                  <a:pt x="2" y="89"/>
                </a:lnTo>
                <a:lnTo>
                  <a:pt x="0" y="76"/>
                </a:lnTo>
                <a:lnTo>
                  <a:pt x="0" y="61"/>
                </a:lnTo>
                <a:lnTo>
                  <a:pt x="4" y="44"/>
                </a:lnTo>
                <a:lnTo>
                  <a:pt x="4" y="44"/>
                </a:lnTo>
                <a:lnTo>
                  <a:pt x="7" y="35"/>
                </a:lnTo>
                <a:lnTo>
                  <a:pt x="12" y="27"/>
                </a:lnTo>
                <a:lnTo>
                  <a:pt x="20" y="14"/>
                </a:lnTo>
                <a:lnTo>
                  <a:pt x="30" y="5"/>
                </a:lnTo>
                <a:lnTo>
                  <a:pt x="39" y="0"/>
                </a:lnTo>
                <a:lnTo>
                  <a:pt x="145" y="61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65" name="Freeform 617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>
            <a:spLocks/>
          </xdr:cNvSpPr>
        </xdr:nvSpPr>
        <xdr:spPr bwMode="auto">
          <a:xfrm>
            <a:off x="10722619" y="11719496"/>
            <a:ext cx="153988" cy="63500"/>
          </a:xfrm>
          <a:custGeom>
            <a:avLst/>
            <a:gdLst>
              <a:gd name="T0" fmla="*/ 193 w 193"/>
              <a:gd name="T1" fmla="*/ 24 h 79"/>
              <a:gd name="T2" fmla="*/ 193 w 193"/>
              <a:gd name="T3" fmla="*/ 24 h 79"/>
              <a:gd name="T4" fmla="*/ 95 w 193"/>
              <a:gd name="T5" fmla="*/ 79 h 79"/>
              <a:gd name="T6" fmla="*/ 0 w 193"/>
              <a:gd name="T7" fmla="*/ 24 h 79"/>
              <a:gd name="T8" fmla="*/ 0 w 193"/>
              <a:gd name="T9" fmla="*/ 24 h 79"/>
              <a:gd name="T10" fmla="*/ 16 w 193"/>
              <a:gd name="T11" fmla="*/ 17 h 79"/>
              <a:gd name="T12" fmla="*/ 38 w 193"/>
              <a:gd name="T13" fmla="*/ 8 h 79"/>
              <a:gd name="T14" fmla="*/ 52 w 193"/>
              <a:gd name="T15" fmla="*/ 5 h 79"/>
              <a:gd name="T16" fmla="*/ 67 w 193"/>
              <a:gd name="T17" fmla="*/ 3 h 79"/>
              <a:gd name="T18" fmla="*/ 82 w 193"/>
              <a:gd name="T19" fmla="*/ 2 h 79"/>
              <a:gd name="T20" fmla="*/ 101 w 193"/>
              <a:gd name="T21" fmla="*/ 0 h 79"/>
              <a:gd name="T22" fmla="*/ 101 w 193"/>
              <a:gd name="T23" fmla="*/ 0 h 79"/>
              <a:gd name="T24" fmla="*/ 116 w 193"/>
              <a:gd name="T25" fmla="*/ 2 h 79"/>
              <a:gd name="T26" fmla="*/ 131 w 193"/>
              <a:gd name="T27" fmla="*/ 3 h 79"/>
              <a:gd name="T28" fmla="*/ 156 w 193"/>
              <a:gd name="T29" fmla="*/ 10 h 79"/>
              <a:gd name="T30" fmla="*/ 178 w 193"/>
              <a:gd name="T31" fmla="*/ 17 h 79"/>
              <a:gd name="T32" fmla="*/ 193 w 193"/>
              <a:gd name="T33" fmla="*/ 24 h 79"/>
              <a:gd name="T34" fmla="*/ 193 w 193"/>
              <a:gd name="T35" fmla="*/ 24 h 7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193" h="79">
                <a:moveTo>
                  <a:pt x="193" y="24"/>
                </a:moveTo>
                <a:lnTo>
                  <a:pt x="193" y="24"/>
                </a:lnTo>
                <a:lnTo>
                  <a:pt x="95" y="79"/>
                </a:lnTo>
                <a:lnTo>
                  <a:pt x="0" y="24"/>
                </a:lnTo>
                <a:lnTo>
                  <a:pt x="0" y="24"/>
                </a:lnTo>
                <a:lnTo>
                  <a:pt x="16" y="17"/>
                </a:lnTo>
                <a:lnTo>
                  <a:pt x="38" y="8"/>
                </a:lnTo>
                <a:lnTo>
                  <a:pt x="52" y="5"/>
                </a:lnTo>
                <a:lnTo>
                  <a:pt x="67" y="3"/>
                </a:lnTo>
                <a:lnTo>
                  <a:pt x="82" y="2"/>
                </a:lnTo>
                <a:lnTo>
                  <a:pt x="101" y="0"/>
                </a:lnTo>
                <a:lnTo>
                  <a:pt x="101" y="0"/>
                </a:lnTo>
                <a:lnTo>
                  <a:pt x="116" y="2"/>
                </a:lnTo>
                <a:lnTo>
                  <a:pt x="131" y="3"/>
                </a:lnTo>
                <a:lnTo>
                  <a:pt x="156" y="10"/>
                </a:lnTo>
                <a:lnTo>
                  <a:pt x="178" y="17"/>
                </a:lnTo>
                <a:lnTo>
                  <a:pt x="193" y="24"/>
                </a:lnTo>
                <a:lnTo>
                  <a:pt x="193" y="24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66" name="Freeform 618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>
            <a:spLocks/>
          </xdr:cNvSpPr>
        </xdr:nvSpPr>
        <xdr:spPr bwMode="auto">
          <a:xfrm>
            <a:off x="10455919" y="11681396"/>
            <a:ext cx="520700" cy="206375"/>
          </a:xfrm>
          <a:custGeom>
            <a:avLst/>
            <a:gdLst>
              <a:gd name="T0" fmla="*/ 7 w 658"/>
              <a:gd name="T1" fmla="*/ 0 h 259"/>
              <a:gd name="T2" fmla="*/ 429 w 658"/>
              <a:gd name="T3" fmla="*/ 242 h 259"/>
              <a:gd name="T4" fmla="*/ 651 w 658"/>
              <a:gd name="T5" fmla="*/ 116 h 259"/>
              <a:gd name="T6" fmla="*/ 658 w 658"/>
              <a:gd name="T7" fmla="*/ 128 h 259"/>
              <a:gd name="T8" fmla="*/ 429 w 658"/>
              <a:gd name="T9" fmla="*/ 259 h 259"/>
              <a:gd name="T10" fmla="*/ 0 w 658"/>
              <a:gd name="T11" fmla="*/ 12 h 259"/>
              <a:gd name="T12" fmla="*/ 7 w 658"/>
              <a:gd name="T13" fmla="*/ 0 h 2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58" h="259">
                <a:moveTo>
                  <a:pt x="7" y="0"/>
                </a:moveTo>
                <a:lnTo>
                  <a:pt x="429" y="242"/>
                </a:lnTo>
                <a:lnTo>
                  <a:pt x="651" y="116"/>
                </a:lnTo>
                <a:lnTo>
                  <a:pt x="658" y="128"/>
                </a:lnTo>
                <a:lnTo>
                  <a:pt x="429" y="259"/>
                </a:lnTo>
                <a:lnTo>
                  <a:pt x="0" y="12"/>
                </a:lnTo>
                <a:lnTo>
                  <a:pt x="7" y="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67" name="Freeform 619">
            <a:extLst>
              <a:ext uri="{FF2B5EF4-FFF2-40B4-BE49-F238E27FC236}">
                <a16:creationId xmlns:a16="http://schemas.microsoft.com/office/drawing/2014/main" id="{00000000-0008-0000-0400-000043000000}"/>
              </a:ext>
            </a:extLst>
          </xdr:cNvPr>
          <xdr:cNvSpPr>
            <a:spLocks/>
          </xdr:cNvSpPr>
        </xdr:nvSpPr>
        <xdr:spPr bwMode="auto">
          <a:xfrm>
            <a:off x="11144894" y="11575034"/>
            <a:ext cx="177800" cy="107950"/>
          </a:xfrm>
          <a:custGeom>
            <a:avLst/>
            <a:gdLst>
              <a:gd name="T0" fmla="*/ 225 w 225"/>
              <a:gd name="T1" fmla="*/ 12 h 137"/>
              <a:gd name="T2" fmla="*/ 7 w 225"/>
              <a:gd name="T3" fmla="*/ 137 h 137"/>
              <a:gd name="T4" fmla="*/ 0 w 225"/>
              <a:gd name="T5" fmla="*/ 125 h 137"/>
              <a:gd name="T6" fmla="*/ 219 w 225"/>
              <a:gd name="T7" fmla="*/ 0 h 137"/>
              <a:gd name="T8" fmla="*/ 225 w 225"/>
              <a:gd name="T9" fmla="*/ 12 h 1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25" h="137">
                <a:moveTo>
                  <a:pt x="225" y="12"/>
                </a:moveTo>
                <a:lnTo>
                  <a:pt x="7" y="137"/>
                </a:lnTo>
                <a:lnTo>
                  <a:pt x="0" y="125"/>
                </a:lnTo>
                <a:lnTo>
                  <a:pt x="219" y="0"/>
                </a:lnTo>
                <a:lnTo>
                  <a:pt x="225" y="12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68" name="Freeform 620">
            <a:extLst>
              <a:ext uri="{FF2B5EF4-FFF2-40B4-BE49-F238E27FC236}">
                <a16:creationId xmlns:a16="http://schemas.microsoft.com/office/drawing/2014/main" id="{00000000-0008-0000-0400-000044000000}"/>
              </a:ext>
            </a:extLst>
          </xdr:cNvPr>
          <xdr:cNvSpPr>
            <a:spLocks/>
          </xdr:cNvSpPr>
        </xdr:nvSpPr>
        <xdr:spPr bwMode="auto">
          <a:xfrm>
            <a:off x="10455919" y="11779821"/>
            <a:ext cx="520700" cy="204788"/>
          </a:xfrm>
          <a:custGeom>
            <a:avLst/>
            <a:gdLst>
              <a:gd name="T0" fmla="*/ 7 w 658"/>
              <a:gd name="T1" fmla="*/ 0 h 257"/>
              <a:gd name="T2" fmla="*/ 429 w 658"/>
              <a:gd name="T3" fmla="*/ 242 h 257"/>
              <a:gd name="T4" fmla="*/ 651 w 658"/>
              <a:gd name="T5" fmla="*/ 114 h 257"/>
              <a:gd name="T6" fmla="*/ 658 w 658"/>
              <a:gd name="T7" fmla="*/ 126 h 257"/>
              <a:gd name="T8" fmla="*/ 429 w 658"/>
              <a:gd name="T9" fmla="*/ 257 h 257"/>
              <a:gd name="T10" fmla="*/ 0 w 658"/>
              <a:gd name="T11" fmla="*/ 10 h 257"/>
              <a:gd name="T12" fmla="*/ 7 w 658"/>
              <a:gd name="T13" fmla="*/ 0 h 2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58" h="257">
                <a:moveTo>
                  <a:pt x="7" y="0"/>
                </a:moveTo>
                <a:lnTo>
                  <a:pt x="429" y="242"/>
                </a:lnTo>
                <a:lnTo>
                  <a:pt x="651" y="114"/>
                </a:lnTo>
                <a:lnTo>
                  <a:pt x="658" y="126"/>
                </a:lnTo>
                <a:lnTo>
                  <a:pt x="429" y="257"/>
                </a:lnTo>
                <a:lnTo>
                  <a:pt x="0" y="10"/>
                </a:lnTo>
                <a:lnTo>
                  <a:pt x="7" y="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69" name="Freeform 621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>
            <a:spLocks/>
          </xdr:cNvSpPr>
        </xdr:nvSpPr>
        <xdr:spPr bwMode="auto">
          <a:xfrm>
            <a:off x="11144894" y="11671871"/>
            <a:ext cx="177800" cy="109538"/>
          </a:xfrm>
          <a:custGeom>
            <a:avLst/>
            <a:gdLst>
              <a:gd name="T0" fmla="*/ 225 w 225"/>
              <a:gd name="T1" fmla="*/ 11 h 137"/>
              <a:gd name="T2" fmla="*/ 7 w 225"/>
              <a:gd name="T3" fmla="*/ 137 h 137"/>
              <a:gd name="T4" fmla="*/ 0 w 225"/>
              <a:gd name="T5" fmla="*/ 126 h 137"/>
              <a:gd name="T6" fmla="*/ 219 w 225"/>
              <a:gd name="T7" fmla="*/ 0 h 137"/>
              <a:gd name="T8" fmla="*/ 225 w 225"/>
              <a:gd name="T9" fmla="*/ 11 h 1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25" h="137">
                <a:moveTo>
                  <a:pt x="225" y="11"/>
                </a:moveTo>
                <a:lnTo>
                  <a:pt x="7" y="137"/>
                </a:lnTo>
                <a:lnTo>
                  <a:pt x="0" y="126"/>
                </a:lnTo>
                <a:lnTo>
                  <a:pt x="219" y="0"/>
                </a:lnTo>
                <a:lnTo>
                  <a:pt x="225" y="11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70" name="Freeform 622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>
            <a:spLocks/>
          </xdr:cNvSpPr>
        </xdr:nvSpPr>
        <xdr:spPr bwMode="auto">
          <a:xfrm>
            <a:off x="10455919" y="11875071"/>
            <a:ext cx="520700" cy="206375"/>
          </a:xfrm>
          <a:custGeom>
            <a:avLst/>
            <a:gdLst>
              <a:gd name="T0" fmla="*/ 7 w 658"/>
              <a:gd name="T1" fmla="*/ 0 h 259"/>
              <a:gd name="T2" fmla="*/ 429 w 658"/>
              <a:gd name="T3" fmla="*/ 242 h 259"/>
              <a:gd name="T4" fmla="*/ 651 w 658"/>
              <a:gd name="T5" fmla="*/ 116 h 259"/>
              <a:gd name="T6" fmla="*/ 658 w 658"/>
              <a:gd name="T7" fmla="*/ 128 h 259"/>
              <a:gd name="T8" fmla="*/ 429 w 658"/>
              <a:gd name="T9" fmla="*/ 259 h 259"/>
              <a:gd name="T10" fmla="*/ 0 w 658"/>
              <a:gd name="T11" fmla="*/ 12 h 259"/>
              <a:gd name="T12" fmla="*/ 7 w 658"/>
              <a:gd name="T13" fmla="*/ 0 h 2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58" h="259">
                <a:moveTo>
                  <a:pt x="7" y="0"/>
                </a:moveTo>
                <a:lnTo>
                  <a:pt x="429" y="242"/>
                </a:lnTo>
                <a:lnTo>
                  <a:pt x="651" y="116"/>
                </a:lnTo>
                <a:lnTo>
                  <a:pt x="658" y="128"/>
                </a:lnTo>
                <a:lnTo>
                  <a:pt x="429" y="259"/>
                </a:lnTo>
                <a:lnTo>
                  <a:pt x="0" y="12"/>
                </a:lnTo>
                <a:lnTo>
                  <a:pt x="7" y="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71" name="Freeform 623">
            <a:extLst>
              <a:ext uri="{FF2B5EF4-FFF2-40B4-BE49-F238E27FC236}">
                <a16:creationId xmlns:a16="http://schemas.microsoft.com/office/drawing/2014/main" id="{00000000-0008-0000-0400-000047000000}"/>
              </a:ext>
            </a:extLst>
          </xdr:cNvPr>
          <xdr:cNvSpPr>
            <a:spLocks/>
          </xdr:cNvSpPr>
        </xdr:nvSpPr>
        <xdr:spPr bwMode="auto">
          <a:xfrm>
            <a:off x="10455919" y="11973496"/>
            <a:ext cx="520700" cy="203200"/>
          </a:xfrm>
          <a:custGeom>
            <a:avLst/>
            <a:gdLst>
              <a:gd name="T0" fmla="*/ 7 w 658"/>
              <a:gd name="T1" fmla="*/ 0 h 257"/>
              <a:gd name="T2" fmla="*/ 429 w 658"/>
              <a:gd name="T3" fmla="*/ 242 h 257"/>
              <a:gd name="T4" fmla="*/ 651 w 658"/>
              <a:gd name="T5" fmla="*/ 114 h 257"/>
              <a:gd name="T6" fmla="*/ 658 w 658"/>
              <a:gd name="T7" fmla="*/ 126 h 257"/>
              <a:gd name="T8" fmla="*/ 429 w 658"/>
              <a:gd name="T9" fmla="*/ 257 h 257"/>
              <a:gd name="T10" fmla="*/ 0 w 658"/>
              <a:gd name="T11" fmla="*/ 11 h 257"/>
              <a:gd name="T12" fmla="*/ 7 w 658"/>
              <a:gd name="T13" fmla="*/ 0 h 2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58" h="257">
                <a:moveTo>
                  <a:pt x="7" y="0"/>
                </a:moveTo>
                <a:lnTo>
                  <a:pt x="429" y="242"/>
                </a:lnTo>
                <a:lnTo>
                  <a:pt x="651" y="114"/>
                </a:lnTo>
                <a:lnTo>
                  <a:pt x="658" y="126"/>
                </a:lnTo>
                <a:lnTo>
                  <a:pt x="429" y="257"/>
                </a:lnTo>
                <a:lnTo>
                  <a:pt x="0" y="11"/>
                </a:lnTo>
                <a:lnTo>
                  <a:pt x="7" y="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72" name="Rectangle 624">
            <a:extLst>
              <a:ext uri="{FF2B5EF4-FFF2-40B4-BE49-F238E27FC236}">
                <a16:creationId xmlns:a16="http://schemas.microsoft.com/office/drawing/2014/main" id="{00000000-0008-0000-0400-000048000000}"/>
              </a:ext>
            </a:extLst>
          </xdr:cNvPr>
          <xdr:cNvSpPr>
            <a:spLocks noChangeArrowheads="1"/>
          </xdr:cNvSpPr>
        </xdr:nvSpPr>
        <xdr:spPr bwMode="auto">
          <a:xfrm>
            <a:off x="10968682" y="11681396"/>
            <a:ext cx="11113" cy="484188"/>
          </a:xfrm>
          <a:prstGeom prst="rect">
            <a:avLst/>
          </a:pr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73" name="Freeform 625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SpPr>
            <a:spLocks/>
          </xdr:cNvSpPr>
        </xdr:nvSpPr>
        <xdr:spPr bwMode="auto">
          <a:xfrm>
            <a:off x="10679757" y="11513121"/>
            <a:ext cx="247650" cy="146050"/>
          </a:xfrm>
          <a:custGeom>
            <a:avLst/>
            <a:gdLst>
              <a:gd name="T0" fmla="*/ 304 w 313"/>
              <a:gd name="T1" fmla="*/ 170 h 185"/>
              <a:gd name="T2" fmla="*/ 309 w 313"/>
              <a:gd name="T3" fmla="*/ 170 h 185"/>
              <a:gd name="T4" fmla="*/ 313 w 313"/>
              <a:gd name="T5" fmla="*/ 175 h 185"/>
              <a:gd name="T6" fmla="*/ 311 w 313"/>
              <a:gd name="T7" fmla="*/ 179 h 185"/>
              <a:gd name="T8" fmla="*/ 309 w 313"/>
              <a:gd name="T9" fmla="*/ 182 h 185"/>
              <a:gd name="T10" fmla="*/ 306 w 313"/>
              <a:gd name="T11" fmla="*/ 184 h 185"/>
              <a:gd name="T12" fmla="*/ 244 w 313"/>
              <a:gd name="T13" fmla="*/ 185 h 185"/>
              <a:gd name="T14" fmla="*/ 183 w 313"/>
              <a:gd name="T15" fmla="*/ 179 h 185"/>
              <a:gd name="T16" fmla="*/ 155 w 313"/>
              <a:gd name="T17" fmla="*/ 174 h 185"/>
              <a:gd name="T18" fmla="*/ 101 w 313"/>
              <a:gd name="T19" fmla="*/ 155 h 185"/>
              <a:gd name="T20" fmla="*/ 77 w 313"/>
              <a:gd name="T21" fmla="*/ 143 h 185"/>
              <a:gd name="T22" fmla="*/ 55 w 313"/>
              <a:gd name="T23" fmla="*/ 128 h 185"/>
              <a:gd name="T24" fmla="*/ 23 w 313"/>
              <a:gd name="T25" fmla="*/ 96 h 185"/>
              <a:gd name="T26" fmla="*/ 12 w 313"/>
              <a:gd name="T27" fmla="*/ 79 h 185"/>
              <a:gd name="T28" fmla="*/ 1 w 313"/>
              <a:gd name="T29" fmla="*/ 52 h 185"/>
              <a:gd name="T30" fmla="*/ 0 w 313"/>
              <a:gd name="T31" fmla="*/ 32 h 185"/>
              <a:gd name="T32" fmla="*/ 7 w 313"/>
              <a:gd name="T33" fmla="*/ 5 h 185"/>
              <a:gd name="T34" fmla="*/ 7 w 313"/>
              <a:gd name="T35" fmla="*/ 2 h 185"/>
              <a:gd name="T36" fmla="*/ 15 w 313"/>
              <a:gd name="T37" fmla="*/ 0 h 185"/>
              <a:gd name="T38" fmla="*/ 17 w 313"/>
              <a:gd name="T39" fmla="*/ 2 h 185"/>
              <a:gd name="T40" fmla="*/ 18 w 313"/>
              <a:gd name="T41" fmla="*/ 7 h 185"/>
              <a:gd name="T42" fmla="*/ 18 w 313"/>
              <a:gd name="T43" fmla="*/ 9 h 185"/>
              <a:gd name="T44" fmla="*/ 15 w 313"/>
              <a:gd name="T45" fmla="*/ 42 h 185"/>
              <a:gd name="T46" fmla="*/ 23 w 313"/>
              <a:gd name="T47" fmla="*/ 74 h 185"/>
              <a:gd name="T48" fmla="*/ 33 w 313"/>
              <a:gd name="T49" fmla="*/ 89 h 185"/>
              <a:gd name="T50" fmla="*/ 64 w 313"/>
              <a:gd name="T51" fmla="*/ 118 h 185"/>
              <a:gd name="T52" fmla="*/ 84 w 313"/>
              <a:gd name="T53" fmla="*/ 132 h 185"/>
              <a:gd name="T54" fmla="*/ 131 w 313"/>
              <a:gd name="T55" fmla="*/ 152 h 185"/>
              <a:gd name="T56" fmla="*/ 185 w 313"/>
              <a:gd name="T57" fmla="*/ 167 h 185"/>
              <a:gd name="T58" fmla="*/ 215 w 313"/>
              <a:gd name="T59" fmla="*/ 170 h 185"/>
              <a:gd name="T60" fmla="*/ 274 w 313"/>
              <a:gd name="T61" fmla="*/ 172 h 185"/>
              <a:gd name="T62" fmla="*/ 304 w 313"/>
              <a:gd name="T63" fmla="*/ 170 h 18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313" h="185">
                <a:moveTo>
                  <a:pt x="304" y="170"/>
                </a:moveTo>
                <a:lnTo>
                  <a:pt x="304" y="170"/>
                </a:lnTo>
                <a:lnTo>
                  <a:pt x="308" y="170"/>
                </a:lnTo>
                <a:lnTo>
                  <a:pt x="309" y="170"/>
                </a:lnTo>
                <a:lnTo>
                  <a:pt x="311" y="174"/>
                </a:lnTo>
                <a:lnTo>
                  <a:pt x="313" y="175"/>
                </a:lnTo>
                <a:lnTo>
                  <a:pt x="313" y="175"/>
                </a:lnTo>
                <a:lnTo>
                  <a:pt x="311" y="179"/>
                </a:lnTo>
                <a:lnTo>
                  <a:pt x="311" y="180"/>
                </a:lnTo>
                <a:lnTo>
                  <a:pt x="309" y="182"/>
                </a:lnTo>
                <a:lnTo>
                  <a:pt x="306" y="184"/>
                </a:lnTo>
                <a:lnTo>
                  <a:pt x="306" y="184"/>
                </a:lnTo>
                <a:lnTo>
                  <a:pt x="276" y="185"/>
                </a:lnTo>
                <a:lnTo>
                  <a:pt x="244" y="185"/>
                </a:lnTo>
                <a:lnTo>
                  <a:pt x="213" y="184"/>
                </a:lnTo>
                <a:lnTo>
                  <a:pt x="183" y="179"/>
                </a:lnTo>
                <a:lnTo>
                  <a:pt x="183" y="179"/>
                </a:lnTo>
                <a:lnTo>
                  <a:pt x="155" y="174"/>
                </a:lnTo>
                <a:lnTo>
                  <a:pt x="128" y="165"/>
                </a:lnTo>
                <a:lnTo>
                  <a:pt x="101" y="155"/>
                </a:lnTo>
                <a:lnTo>
                  <a:pt x="77" y="143"/>
                </a:lnTo>
                <a:lnTo>
                  <a:pt x="77" y="143"/>
                </a:lnTo>
                <a:lnTo>
                  <a:pt x="77" y="143"/>
                </a:lnTo>
                <a:lnTo>
                  <a:pt x="55" y="128"/>
                </a:lnTo>
                <a:lnTo>
                  <a:pt x="37" y="113"/>
                </a:lnTo>
                <a:lnTo>
                  <a:pt x="23" y="96"/>
                </a:lnTo>
                <a:lnTo>
                  <a:pt x="12" y="79"/>
                </a:lnTo>
                <a:lnTo>
                  <a:pt x="12" y="79"/>
                </a:lnTo>
                <a:lnTo>
                  <a:pt x="5" y="61"/>
                </a:lnTo>
                <a:lnTo>
                  <a:pt x="1" y="52"/>
                </a:lnTo>
                <a:lnTo>
                  <a:pt x="1" y="42"/>
                </a:lnTo>
                <a:lnTo>
                  <a:pt x="0" y="32"/>
                </a:lnTo>
                <a:lnTo>
                  <a:pt x="1" y="24"/>
                </a:lnTo>
                <a:lnTo>
                  <a:pt x="7" y="5"/>
                </a:lnTo>
                <a:lnTo>
                  <a:pt x="7" y="5"/>
                </a:lnTo>
                <a:lnTo>
                  <a:pt x="7" y="2"/>
                </a:lnTo>
                <a:lnTo>
                  <a:pt x="10" y="0"/>
                </a:lnTo>
                <a:lnTo>
                  <a:pt x="15" y="0"/>
                </a:lnTo>
                <a:lnTo>
                  <a:pt x="15" y="0"/>
                </a:lnTo>
                <a:lnTo>
                  <a:pt x="17" y="2"/>
                </a:lnTo>
                <a:lnTo>
                  <a:pt x="18" y="4"/>
                </a:lnTo>
                <a:lnTo>
                  <a:pt x="18" y="7"/>
                </a:lnTo>
                <a:lnTo>
                  <a:pt x="18" y="9"/>
                </a:lnTo>
                <a:lnTo>
                  <a:pt x="18" y="9"/>
                </a:lnTo>
                <a:lnTo>
                  <a:pt x="15" y="26"/>
                </a:lnTo>
                <a:lnTo>
                  <a:pt x="15" y="42"/>
                </a:lnTo>
                <a:lnTo>
                  <a:pt x="17" y="58"/>
                </a:lnTo>
                <a:lnTo>
                  <a:pt x="23" y="74"/>
                </a:lnTo>
                <a:lnTo>
                  <a:pt x="23" y="74"/>
                </a:lnTo>
                <a:lnTo>
                  <a:pt x="33" y="89"/>
                </a:lnTo>
                <a:lnTo>
                  <a:pt x="47" y="105"/>
                </a:lnTo>
                <a:lnTo>
                  <a:pt x="64" y="118"/>
                </a:lnTo>
                <a:lnTo>
                  <a:pt x="84" y="132"/>
                </a:lnTo>
                <a:lnTo>
                  <a:pt x="84" y="132"/>
                </a:lnTo>
                <a:lnTo>
                  <a:pt x="107" y="143"/>
                </a:lnTo>
                <a:lnTo>
                  <a:pt x="131" y="152"/>
                </a:lnTo>
                <a:lnTo>
                  <a:pt x="158" y="160"/>
                </a:lnTo>
                <a:lnTo>
                  <a:pt x="185" y="167"/>
                </a:lnTo>
                <a:lnTo>
                  <a:pt x="185" y="167"/>
                </a:lnTo>
                <a:lnTo>
                  <a:pt x="215" y="170"/>
                </a:lnTo>
                <a:lnTo>
                  <a:pt x="245" y="172"/>
                </a:lnTo>
                <a:lnTo>
                  <a:pt x="274" y="172"/>
                </a:lnTo>
                <a:lnTo>
                  <a:pt x="304" y="170"/>
                </a:lnTo>
                <a:lnTo>
                  <a:pt x="304" y="170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74" name="Freeform 626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SpPr>
            <a:spLocks/>
          </xdr:cNvSpPr>
        </xdr:nvSpPr>
        <xdr:spPr bwMode="auto">
          <a:xfrm>
            <a:off x="10873432" y="11422634"/>
            <a:ext cx="211138" cy="125413"/>
          </a:xfrm>
          <a:custGeom>
            <a:avLst/>
            <a:gdLst>
              <a:gd name="T0" fmla="*/ 6 w 265"/>
              <a:gd name="T1" fmla="*/ 13 h 158"/>
              <a:gd name="T2" fmla="*/ 6 w 265"/>
              <a:gd name="T3" fmla="*/ 13 h 158"/>
              <a:gd name="T4" fmla="*/ 3 w 265"/>
              <a:gd name="T5" fmla="*/ 11 h 158"/>
              <a:gd name="T6" fmla="*/ 1 w 265"/>
              <a:gd name="T7" fmla="*/ 10 h 158"/>
              <a:gd name="T8" fmla="*/ 0 w 265"/>
              <a:gd name="T9" fmla="*/ 8 h 158"/>
              <a:gd name="T10" fmla="*/ 0 w 265"/>
              <a:gd name="T11" fmla="*/ 6 h 158"/>
              <a:gd name="T12" fmla="*/ 0 w 265"/>
              <a:gd name="T13" fmla="*/ 6 h 158"/>
              <a:gd name="T14" fmla="*/ 0 w 265"/>
              <a:gd name="T15" fmla="*/ 3 h 158"/>
              <a:gd name="T16" fmla="*/ 1 w 265"/>
              <a:gd name="T17" fmla="*/ 1 h 158"/>
              <a:gd name="T18" fmla="*/ 3 w 265"/>
              <a:gd name="T19" fmla="*/ 0 h 158"/>
              <a:gd name="T20" fmla="*/ 6 w 265"/>
              <a:gd name="T21" fmla="*/ 0 h 158"/>
              <a:gd name="T22" fmla="*/ 6 w 265"/>
              <a:gd name="T23" fmla="*/ 0 h 158"/>
              <a:gd name="T24" fmla="*/ 32 w 265"/>
              <a:gd name="T25" fmla="*/ 0 h 158"/>
              <a:gd name="T26" fmla="*/ 57 w 265"/>
              <a:gd name="T27" fmla="*/ 1 h 158"/>
              <a:gd name="T28" fmla="*/ 80 w 265"/>
              <a:gd name="T29" fmla="*/ 5 h 158"/>
              <a:gd name="T30" fmla="*/ 104 w 265"/>
              <a:gd name="T31" fmla="*/ 10 h 158"/>
              <a:gd name="T32" fmla="*/ 104 w 265"/>
              <a:gd name="T33" fmla="*/ 10 h 158"/>
              <a:gd name="T34" fmla="*/ 127 w 265"/>
              <a:gd name="T35" fmla="*/ 15 h 158"/>
              <a:gd name="T36" fmla="*/ 149 w 265"/>
              <a:gd name="T37" fmla="*/ 23 h 158"/>
              <a:gd name="T38" fmla="*/ 170 w 265"/>
              <a:gd name="T39" fmla="*/ 32 h 158"/>
              <a:gd name="T40" fmla="*/ 190 w 265"/>
              <a:gd name="T41" fmla="*/ 42 h 158"/>
              <a:gd name="T42" fmla="*/ 190 w 265"/>
              <a:gd name="T43" fmla="*/ 42 h 158"/>
              <a:gd name="T44" fmla="*/ 207 w 265"/>
              <a:gd name="T45" fmla="*/ 53 h 158"/>
              <a:gd name="T46" fmla="*/ 223 w 265"/>
              <a:gd name="T47" fmla="*/ 65 h 158"/>
              <a:gd name="T48" fmla="*/ 235 w 265"/>
              <a:gd name="T49" fmla="*/ 79 h 158"/>
              <a:gd name="T50" fmla="*/ 247 w 265"/>
              <a:gd name="T51" fmla="*/ 90 h 158"/>
              <a:gd name="T52" fmla="*/ 247 w 265"/>
              <a:gd name="T53" fmla="*/ 90 h 158"/>
              <a:gd name="T54" fmla="*/ 255 w 265"/>
              <a:gd name="T55" fmla="*/ 106 h 158"/>
              <a:gd name="T56" fmla="*/ 262 w 265"/>
              <a:gd name="T57" fmla="*/ 121 h 158"/>
              <a:gd name="T58" fmla="*/ 265 w 265"/>
              <a:gd name="T59" fmla="*/ 136 h 158"/>
              <a:gd name="T60" fmla="*/ 265 w 265"/>
              <a:gd name="T61" fmla="*/ 151 h 158"/>
              <a:gd name="T62" fmla="*/ 265 w 265"/>
              <a:gd name="T63" fmla="*/ 151 h 158"/>
              <a:gd name="T64" fmla="*/ 265 w 265"/>
              <a:gd name="T65" fmla="*/ 154 h 158"/>
              <a:gd name="T66" fmla="*/ 264 w 265"/>
              <a:gd name="T67" fmla="*/ 156 h 158"/>
              <a:gd name="T68" fmla="*/ 262 w 265"/>
              <a:gd name="T69" fmla="*/ 158 h 158"/>
              <a:gd name="T70" fmla="*/ 259 w 265"/>
              <a:gd name="T71" fmla="*/ 158 h 158"/>
              <a:gd name="T72" fmla="*/ 259 w 265"/>
              <a:gd name="T73" fmla="*/ 158 h 158"/>
              <a:gd name="T74" fmla="*/ 257 w 265"/>
              <a:gd name="T75" fmla="*/ 158 h 158"/>
              <a:gd name="T76" fmla="*/ 254 w 265"/>
              <a:gd name="T77" fmla="*/ 156 h 158"/>
              <a:gd name="T78" fmla="*/ 254 w 265"/>
              <a:gd name="T79" fmla="*/ 154 h 158"/>
              <a:gd name="T80" fmla="*/ 252 w 265"/>
              <a:gd name="T81" fmla="*/ 151 h 158"/>
              <a:gd name="T82" fmla="*/ 252 w 265"/>
              <a:gd name="T83" fmla="*/ 151 h 158"/>
              <a:gd name="T84" fmla="*/ 252 w 265"/>
              <a:gd name="T85" fmla="*/ 138 h 158"/>
              <a:gd name="T86" fmla="*/ 249 w 265"/>
              <a:gd name="T87" fmla="*/ 124 h 158"/>
              <a:gd name="T88" fmla="*/ 244 w 265"/>
              <a:gd name="T89" fmla="*/ 112 h 158"/>
              <a:gd name="T90" fmla="*/ 235 w 265"/>
              <a:gd name="T91" fmla="*/ 99 h 158"/>
              <a:gd name="T92" fmla="*/ 235 w 265"/>
              <a:gd name="T93" fmla="*/ 99 h 158"/>
              <a:gd name="T94" fmla="*/ 225 w 265"/>
              <a:gd name="T95" fmla="*/ 87 h 158"/>
              <a:gd name="T96" fmla="*/ 213 w 265"/>
              <a:gd name="T97" fmla="*/ 75 h 158"/>
              <a:gd name="T98" fmla="*/ 200 w 265"/>
              <a:gd name="T99" fmla="*/ 64 h 158"/>
              <a:gd name="T100" fmla="*/ 183 w 265"/>
              <a:gd name="T101" fmla="*/ 53 h 158"/>
              <a:gd name="T102" fmla="*/ 183 w 265"/>
              <a:gd name="T103" fmla="*/ 53 h 158"/>
              <a:gd name="T104" fmla="*/ 164 w 265"/>
              <a:gd name="T105" fmla="*/ 43 h 158"/>
              <a:gd name="T106" fmla="*/ 144 w 265"/>
              <a:gd name="T107" fmla="*/ 35 h 158"/>
              <a:gd name="T108" fmla="*/ 124 w 265"/>
              <a:gd name="T109" fmla="*/ 28 h 158"/>
              <a:gd name="T110" fmla="*/ 102 w 265"/>
              <a:gd name="T111" fmla="*/ 23 h 158"/>
              <a:gd name="T112" fmla="*/ 102 w 265"/>
              <a:gd name="T113" fmla="*/ 23 h 158"/>
              <a:gd name="T114" fmla="*/ 79 w 265"/>
              <a:gd name="T115" fmla="*/ 18 h 158"/>
              <a:gd name="T116" fmla="*/ 55 w 265"/>
              <a:gd name="T117" fmla="*/ 15 h 158"/>
              <a:gd name="T118" fmla="*/ 30 w 265"/>
              <a:gd name="T119" fmla="*/ 13 h 158"/>
              <a:gd name="T120" fmla="*/ 6 w 265"/>
              <a:gd name="T121" fmla="*/ 13 h 158"/>
              <a:gd name="T122" fmla="*/ 6 w 265"/>
              <a:gd name="T123" fmla="*/ 13 h 15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65" h="158">
                <a:moveTo>
                  <a:pt x="6" y="13"/>
                </a:moveTo>
                <a:lnTo>
                  <a:pt x="6" y="13"/>
                </a:lnTo>
                <a:lnTo>
                  <a:pt x="3" y="11"/>
                </a:lnTo>
                <a:lnTo>
                  <a:pt x="1" y="10"/>
                </a:lnTo>
                <a:lnTo>
                  <a:pt x="0" y="8"/>
                </a:lnTo>
                <a:lnTo>
                  <a:pt x="0" y="6"/>
                </a:lnTo>
                <a:lnTo>
                  <a:pt x="0" y="6"/>
                </a:lnTo>
                <a:lnTo>
                  <a:pt x="0" y="3"/>
                </a:lnTo>
                <a:lnTo>
                  <a:pt x="1" y="1"/>
                </a:lnTo>
                <a:lnTo>
                  <a:pt x="3" y="0"/>
                </a:lnTo>
                <a:lnTo>
                  <a:pt x="6" y="0"/>
                </a:lnTo>
                <a:lnTo>
                  <a:pt x="6" y="0"/>
                </a:lnTo>
                <a:lnTo>
                  <a:pt x="32" y="0"/>
                </a:lnTo>
                <a:lnTo>
                  <a:pt x="57" y="1"/>
                </a:lnTo>
                <a:lnTo>
                  <a:pt x="80" y="5"/>
                </a:lnTo>
                <a:lnTo>
                  <a:pt x="104" y="10"/>
                </a:lnTo>
                <a:lnTo>
                  <a:pt x="104" y="10"/>
                </a:lnTo>
                <a:lnTo>
                  <a:pt x="127" y="15"/>
                </a:lnTo>
                <a:lnTo>
                  <a:pt x="149" y="23"/>
                </a:lnTo>
                <a:lnTo>
                  <a:pt x="170" y="32"/>
                </a:lnTo>
                <a:lnTo>
                  <a:pt x="190" y="42"/>
                </a:lnTo>
                <a:lnTo>
                  <a:pt x="190" y="42"/>
                </a:lnTo>
                <a:lnTo>
                  <a:pt x="207" y="53"/>
                </a:lnTo>
                <a:lnTo>
                  <a:pt x="223" y="65"/>
                </a:lnTo>
                <a:lnTo>
                  <a:pt x="235" y="79"/>
                </a:lnTo>
                <a:lnTo>
                  <a:pt x="247" y="90"/>
                </a:lnTo>
                <a:lnTo>
                  <a:pt x="247" y="90"/>
                </a:lnTo>
                <a:lnTo>
                  <a:pt x="255" y="106"/>
                </a:lnTo>
                <a:lnTo>
                  <a:pt x="262" y="121"/>
                </a:lnTo>
                <a:lnTo>
                  <a:pt x="265" y="136"/>
                </a:lnTo>
                <a:lnTo>
                  <a:pt x="265" y="151"/>
                </a:lnTo>
                <a:lnTo>
                  <a:pt x="265" y="151"/>
                </a:lnTo>
                <a:lnTo>
                  <a:pt x="265" y="154"/>
                </a:lnTo>
                <a:lnTo>
                  <a:pt x="264" y="156"/>
                </a:lnTo>
                <a:lnTo>
                  <a:pt x="262" y="158"/>
                </a:lnTo>
                <a:lnTo>
                  <a:pt x="259" y="158"/>
                </a:lnTo>
                <a:lnTo>
                  <a:pt x="259" y="158"/>
                </a:lnTo>
                <a:lnTo>
                  <a:pt x="257" y="158"/>
                </a:lnTo>
                <a:lnTo>
                  <a:pt x="254" y="156"/>
                </a:lnTo>
                <a:lnTo>
                  <a:pt x="254" y="154"/>
                </a:lnTo>
                <a:lnTo>
                  <a:pt x="252" y="151"/>
                </a:lnTo>
                <a:lnTo>
                  <a:pt x="252" y="151"/>
                </a:lnTo>
                <a:lnTo>
                  <a:pt x="252" y="138"/>
                </a:lnTo>
                <a:lnTo>
                  <a:pt x="249" y="124"/>
                </a:lnTo>
                <a:lnTo>
                  <a:pt x="244" y="112"/>
                </a:lnTo>
                <a:lnTo>
                  <a:pt x="235" y="99"/>
                </a:lnTo>
                <a:lnTo>
                  <a:pt x="235" y="99"/>
                </a:lnTo>
                <a:lnTo>
                  <a:pt x="225" y="87"/>
                </a:lnTo>
                <a:lnTo>
                  <a:pt x="213" y="75"/>
                </a:lnTo>
                <a:lnTo>
                  <a:pt x="200" y="64"/>
                </a:lnTo>
                <a:lnTo>
                  <a:pt x="183" y="53"/>
                </a:lnTo>
                <a:lnTo>
                  <a:pt x="183" y="53"/>
                </a:lnTo>
                <a:lnTo>
                  <a:pt x="164" y="43"/>
                </a:lnTo>
                <a:lnTo>
                  <a:pt x="144" y="35"/>
                </a:lnTo>
                <a:lnTo>
                  <a:pt x="124" y="28"/>
                </a:lnTo>
                <a:lnTo>
                  <a:pt x="102" y="23"/>
                </a:lnTo>
                <a:lnTo>
                  <a:pt x="102" y="23"/>
                </a:lnTo>
                <a:lnTo>
                  <a:pt x="79" y="18"/>
                </a:lnTo>
                <a:lnTo>
                  <a:pt x="55" y="15"/>
                </a:lnTo>
                <a:lnTo>
                  <a:pt x="30" y="13"/>
                </a:lnTo>
                <a:lnTo>
                  <a:pt x="6" y="13"/>
                </a:lnTo>
                <a:lnTo>
                  <a:pt x="6" y="13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75" name="Freeform 627">
            <a:extLst>
              <a:ext uri="{FF2B5EF4-FFF2-40B4-BE49-F238E27FC236}">
                <a16:creationId xmlns:a16="http://schemas.microsoft.com/office/drawing/2014/main" id="{00000000-0008-0000-0400-00004B000000}"/>
              </a:ext>
            </a:extLst>
          </xdr:cNvPr>
          <xdr:cNvSpPr>
            <a:spLocks/>
          </xdr:cNvSpPr>
        </xdr:nvSpPr>
        <xdr:spPr bwMode="auto">
          <a:xfrm>
            <a:off x="10455919" y="11586146"/>
            <a:ext cx="520700" cy="204788"/>
          </a:xfrm>
          <a:custGeom>
            <a:avLst/>
            <a:gdLst>
              <a:gd name="T0" fmla="*/ 654 w 654"/>
              <a:gd name="T1" fmla="*/ 128 h 257"/>
              <a:gd name="T2" fmla="*/ 654 w 654"/>
              <a:gd name="T3" fmla="*/ 128 h 257"/>
              <a:gd name="T4" fmla="*/ 427 w 654"/>
              <a:gd name="T5" fmla="*/ 257 h 257"/>
              <a:gd name="T6" fmla="*/ 0 w 654"/>
              <a:gd name="T7" fmla="*/ 12 h 257"/>
              <a:gd name="T8" fmla="*/ 7 w 654"/>
              <a:gd name="T9" fmla="*/ 0 h 257"/>
              <a:gd name="T10" fmla="*/ 427 w 654"/>
              <a:gd name="T11" fmla="*/ 242 h 257"/>
              <a:gd name="T12" fmla="*/ 521 w 654"/>
              <a:gd name="T13" fmla="*/ 188 h 257"/>
              <a:gd name="T14" fmla="*/ 647 w 654"/>
              <a:gd name="T15" fmla="*/ 116 h 257"/>
              <a:gd name="T16" fmla="*/ 654 w 654"/>
              <a:gd name="T17" fmla="*/ 128 h 2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654" h="257">
                <a:moveTo>
                  <a:pt x="654" y="128"/>
                </a:moveTo>
                <a:lnTo>
                  <a:pt x="654" y="128"/>
                </a:lnTo>
                <a:lnTo>
                  <a:pt x="427" y="257"/>
                </a:lnTo>
                <a:lnTo>
                  <a:pt x="0" y="12"/>
                </a:lnTo>
                <a:lnTo>
                  <a:pt x="7" y="0"/>
                </a:lnTo>
                <a:lnTo>
                  <a:pt x="427" y="242"/>
                </a:lnTo>
                <a:lnTo>
                  <a:pt x="521" y="188"/>
                </a:lnTo>
                <a:lnTo>
                  <a:pt x="647" y="116"/>
                </a:lnTo>
                <a:lnTo>
                  <a:pt x="654" y="128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76" name="Freeform 628">
            <a:extLst>
              <a:ext uri="{FF2B5EF4-FFF2-40B4-BE49-F238E27FC236}">
                <a16:creationId xmlns:a16="http://schemas.microsoft.com/office/drawing/2014/main" id="{00000000-0008-0000-0400-00004C000000}"/>
              </a:ext>
            </a:extLst>
          </xdr:cNvPr>
          <xdr:cNvSpPr>
            <a:spLocks/>
          </xdr:cNvSpPr>
        </xdr:nvSpPr>
        <xdr:spPr bwMode="auto">
          <a:xfrm>
            <a:off x="11144894" y="11478196"/>
            <a:ext cx="177800" cy="109538"/>
          </a:xfrm>
          <a:custGeom>
            <a:avLst/>
            <a:gdLst>
              <a:gd name="T0" fmla="*/ 225 w 225"/>
              <a:gd name="T1" fmla="*/ 11 h 138"/>
              <a:gd name="T2" fmla="*/ 7 w 225"/>
              <a:gd name="T3" fmla="*/ 138 h 138"/>
              <a:gd name="T4" fmla="*/ 0 w 225"/>
              <a:gd name="T5" fmla="*/ 126 h 138"/>
              <a:gd name="T6" fmla="*/ 219 w 225"/>
              <a:gd name="T7" fmla="*/ 0 h 138"/>
              <a:gd name="T8" fmla="*/ 225 w 225"/>
              <a:gd name="T9" fmla="*/ 11 h 1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25" h="138">
                <a:moveTo>
                  <a:pt x="225" y="11"/>
                </a:moveTo>
                <a:lnTo>
                  <a:pt x="7" y="138"/>
                </a:lnTo>
                <a:lnTo>
                  <a:pt x="0" y="126"/>
                </a:lnTo>
                <a:lnTo>
                  <a:pt x="219" y="0"/>
                </a:lnTo>
                <a:lnTo>
                  <a:pt x="225" y="11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77" name="Freeform 629">
            <a:extLst>
              <a:ext uri="{FF2B5EF4-FFF2-40B4-BE49-F238E27FC236}">
                <a16:creationId xmlns:a16="http://schemas.microsoft.com/office/drawing/2014/main" id="{00000000-0008-0000-0400-00004D000000}"/>
              </a:ext>
            </a:extLst>
          </xdr:cNvPr>
          <xdr:cNvSpPr>
            <a:spLocks/>
          </xdr:cNvSpPr>
        </xdr:nvSpPr>
        <xdr:spPr bwMode="auto">
          <a:xfrm>
            <a:off x="11040119" y="12025884"/>
            <a:ext cx="520700" cy="206375"/>
          </a:xfrm>
          <a:custGeom>
            <a:avLst/>
            <a:gdLst>
              <a:gd name="T0" fmla="*/ 7 w 656"/>
              <a:gd name="T1" fmla="*/ 0 h 259"/>
              <a:gd name="T2" fmla="*/ 429 w 656"/>
              <a:gd name="T3" fmla="*/ 244 h 259"/>
              <a:gd name="T4" fmla="*/ 649 w 656"/>
              <a:gd name="T5" fmla="*/ 116 h 259"/>
              <a:gd name="T6" fmla="*/ 656 w 656"/>
              <a:gd name="T7" fmla="*/ 128 h 259"/>
              <a:gd name="T8" fmla="*/ 429 w 656"/>
              <a:gd name="T9" fmla="*/ 259 h 259"/>
              <a:gd name="T10" fmla="*/ 0 w 656"/>
              <a:gd name="T11" fmla="*/ 12 h 259"/>
              <a:gd name="T12" fmla="*/ 7 w 656"/>
              <a:gd name="T13" fmla="*/ 0 h 2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56" h="259">
                <a:moveTo>
                  <a:pt x="7" y="0"/>
                </a:moveTo>
                <a:lnTo>
                  <a:pt x="429" y="244"/>
                </a:lnTo>
                <a:lnTo>
                  <a:pt x="649" y="116"/>
                </a:lnTo>
                <a:lnTo>
                  <a:pt x="656" y="128"/>
                </a:lnTo>
                <a:lnTo>
                  <a:pt x="429" y="259"/>
                </a:lnTo>
                <a:lnTo>
                  <a:pt x="0" y="12"/>
                </a:lnTo>
                <a:lnTo>
                  <a:pt x="7" y="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78" name="Freeform 630">
            <a:extLst>
              <a:ext uri="{FF2B5EF4-FFF2-40B4-BE49-F238E27FC236}">
                <a16:creationId xmlns:a16="http://schemas.microsoft.com/office/drawing/2014/main" id="{00000000-0008-0000-0400-00004E000000}"/>
              </a:ext>
            </a:extLst>
          </xdr:cNvPr>
          <xdr:cNvSpPr>
            <a:spLocks/>
          </xdr:cNvSpPr>
        </xdr:nvSpPr>
        <xdr:spPr bwMode="auto">
          <a:xfrm>
            <a:off x="11729094" y="11919521"/>
            <a:ext cx="177800" cy="109538"/>
          </a:xfrm>
          <a:custGeom>
            <a:avLst/>
            <a:gdLst>
              <a:gd name="T0" fmla="*/ 223 w 223"/>
              <a:gd name="T1" fmla="*/ 12 h 138"/>
              <a:gd name="T2" fmla="*/ 6 w 223"/>
              <a:gd name="T3" fmla="*/ 138 h 138"/>
              <a:gd name="T4" fmla="*/ 0 w 223"/>
              <a:gd name="T5" fmla="*/ 126 h 138"/>
              <a:gd name="T6" fmla="*/ 217 w 223"/>
              <a:gd name="T7" fmla="*/ 0 h 138"/>
              <a:gd name="T8" fmla="*/ 223 w 223"/>
              <a:gd name="T9" fmla="*/ 12 h 1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23" h="138">
                <a:moveTo>
                  <a:pt x="223" y="12"/>
                </a:moveTo>
                <a:lnTo>
                  <a:pt x="6" y="138"/>
                </a:lnTo>
                <a:lnTo>
                  <a:pt x="0" y="126"/>
                </a:lnTo>
                <a:lnTo>
                  <a:pt x="217" y="0"/>
                </a:lnTo>
                <a:lnTo>
                  <a:pt x="223" y="12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79" name="Freeform 631">
            <a:extLst>
              <a:ext uri="{FF2B5EF4-FFF2-40B4-BE49-F238E27FC236}">
                <a16:creationId xmlns:a16="http://schemas.microsoft.com/office/drawing/2014/main" id="{00000000-0008-0000-0400-00004F000000}"/>
              </a:ext>
            </a:extLst>
          </xdr:cNvPr>
          <xdr:cNvSpPr>
            <a:spLocks/>
          </xdr:cNvSpPr>
        </xdr:nvSpPr>
        <xdr:spPr bwMode="auto">
          <a:xfrm>
            <a:off x="11040119" y="12124309"/>
            <a:ext cx="520700" cy="204788"/>
          </a:xfrm>
          <a:custGeom>
            <a:avLst/>
            <a:gdLst>
              <a:gd name="T0" fmla="*/ 7 w 656"/>
              <a:gd name="T1" fmla="*/ 0 h 257"/>
              <a:gd name="T2" fmla="*/ 429 w 656"/>
              <a:gd name="T3" fmla="*/ 242 h 257"/>
              <a:gd name="T4" fmla="*/ 649 w 656"/>
              <a:gd name="T5" fmla="*/ 116 h 257"/>
              <a:gd name="T6" fmla="*/ 656 w 656"/>
              <a:gd name="T7" fmla="*/ 127 h 257"/>
              <a:gd name="T8" fmla="*/ 429 w 656"/>
              <a:gd name="T9" fmla="*/ 257 h 257"/>
              <a:gd name="T10" fmla="*/ 0 w 656"/>
              <a:gd name="T11" fmla="*/ 11 h 257"/>
              <a:gd name="T12" fmla="*/ 7 w 656"/>
              <a:gd name="T13" fmla="*/ 0 h 2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56" h="257">
                <a:moveTo>
                  <a:pt x="7" y="0"/>
                </a:moveTo>
                <a:lnTo>
                  <a:pt x="429" y="242"/>
                </a:lnTo>
                <a:lnTo>
                  <a:pt x="649" y="116"/>
                </a:lnTo>
                <a:lnTo>
                  <a:pt x="656" y="127"/>
                </a:lnTo>
                <a:lnTo>
                  <a:pt x="429" y="257"/>
                </a:lnTo>
                <a:lnTo>
                  <a:pt x="0" y="11"/>
                </a:lnTo>
                <a:lnTo>
                  <a:pt x="7" y="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0" name="Freeform 632">
            <a:extLst>
              <a:ext uri="{FF2B5EF4-FFF2-40B4-BE49-F238E27FC236}">
                <a16:creationId xmlns:a16="http://schemas.microsoft.com/office/drawing/2014/main" id="{00000000-0008-0000-0400-000050000000}"/>
              </a:ext>
            </a:extLst>
          </xdr:cNvPr>
          <xdr:cNvSpPr>
            <a:spLocks/>
          </xdr:cNvSpPr>
        </xdr:nvSpPr>
        <xdr:spPr bwMode="auto">
          <a:xfrm>
            <a:off x="11729094" y="12017946"/>
            <a:ext cx="177800" cy="107950"/>
          </a:xfrm>
          <a:custGeom>
            <a:avLst/>
            <a:gdLst>
              <a:gd name="T0" fmla="*/ 223 w 223"/>
              <a:gd name="T1" fmla="*/ 12 h 136"/>
              <a:gd name="T2" fmla="*/ 6 w 223"/>
              <a:gd name="T3" fmla="*/ 136 h 136"/>
              <a:gd name="T4" fmla="*/ 0 w 223"/>
              <a:gd name="T5" fmla="*/ 125 h 136"/>
              <a:gd name="T6" fmla="*/ 217 w 223"/>
              <a:gd name="T7" fmla="*/ 0 h 136"/>
              <a:gd name="T8" fmla="*/ 223 w 223"/>
              <a:gd name="T9" fmla="*/ 12 h 1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23" h="136">
                <a:moveTo>
                  <a:pt x="223" y="12"/>
                </a:moveTo>
                <a:lnTo>
                  <a:pt x="6" y="136"/>
                </a:lnTo>
                <a:lnTo>
                  <a:pt x="0" y="125"/>
                </a:lnTo>
                <a:lnTo>
                  <a:pt x="217" y="0"/>
                </a:lnTo>
                <a:lnTo>
                  <a:pt x="223" y="12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1" name="Freeform 633">
            <a:extLst>
              <a:ext uri="{FF2B5EF4-FFF2-40B4-BE49-F238E27FC236}">
                <a16:creationId xmlns:a16="http://schemas.microsoft.com/office/drawing/2014/main" id="{00000000-0008-0000-0400-000051000000}"/>
              </a:ext>
            </a:extLst>
          </xdr:cNvPr>
          <xdr:cNvSpPr>
            <a:spLocks/>
          </xdr:cNvSpPr>
        </xdr:nvSpPr>
        <xdr:spPr bwMode="auto">
          <a:xfrm>
            <a:off x="11216332" y="11825859"/>
            <a:ext cx="6350" cy="11113"/>
          </a:xfrm>
          <a:custGeom>
            <a:avLst/>
            <a:gdLst>
              <a:gd name="T0" fmla="*/ 2 w 8"/>
              <a:gd name="T1" fmla="*/ 13 h 13"/>
              <a:gd name="T2" fmla="*/ 0 w 8"/>
              <a:gd name="T3" fmla="*/ 11 h 13"/>
              <a:gd name="T4" fmla="*/ 5 w 8"/>
              <a:gd name="T5" fmla="*/ 0 h 13"/>
              <a:gd name="T6" fmla="*/ 8 w 8"/>
              <a:gd name="T7" fmla="*/ 1 h 13"/>
              <a:gd name="T8" fmla="*/ 2 w 8"/>
              <a:gd name="T9" fmla="*/ 13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8" h="13">
                <a:moveTo>
                  <a:pt x="2" y="13"/>
                </a:moveTo>
                <a:lnTo>
                  <a:pt x="0" y="11"/>
                </a:lnTo>
                <a:lnTo>
                  <a:pt x="5" y="0"/>
                </a:lnTo>
                <a:lnTo>
                  <a:pt x="8" y="1"/>
                </a:lnTo>
                <a:lnTo>
                  <a:pt x="2" y="13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2" name="Rectangle 634">
            <a:extLst>
              <a:ext uri="{FF2B5EF4-FFF2-40B4-BE49-F238E27FC236}">
                <a16:creationId xmlns:a16="http://schemas.microsoft.com/office/drawing/2014/main" id="{00000000-0008-0000-0400-000052000000}"/>
              </a:ext>
            </a:extLst>
          </xdr:cNvPr>
          <xdr:cNvSpPr>
            <a:spLocks noChangeArrowheads="1"/>
          </xdr:cNvSpPr>
        </xdr:nvSpPr>
        <xdr:spPr bwMode="auto">
          <a:xfrm>
            <a:off x="11557644" y="12022709"/>
            <a:ext cx="1588" cy="11113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3" name="Freeform 635">
            <a:extLst>
              <a:ext uri="{FF2B5EF4-FFF2-40B4-BE49-F238E27FC236}">
                <a16:creationId xmlns:a16="http://schemas.microsoft.com/office/drawing/2014/main" id="{00000000-0008-0000-0400-000053000000}"/>
              </a:ext>
            </a:extLst>
          </xdr:cNvPr>
          <xdr:cNvSpPr>
            <a:spLocks/>
          </xdr:cNvSpPr>
        </xdr:nvSpPr>
        <xdr:spPr bwMode="auto">
          <a:xfrm>
            <a:off x="11263957" y="11857609"/>
            <a:ext cx="247650" cy="146050"/>
          </a:xfrm>
          <a:custGeom>
            <a:avLst/>
            <a:gdLst>
              <a:gd name="T0" fmla="*/ 303 w 312"/>
              <a:gd name="T1" fmla="*/ 170 h 185"/>
              <a:gd name="T2" fmla="*/ 308 w 312"/>
              <a:gd name="T3" fmla="*/ 172 h 185"/>
              <a:gd name="T4" fmla="*/ 312 w 312"/>
              <a:gd name="T5" fmla="*/ 177 h 185"/>
              <a:gd name="T6" fmla="*/ 312 w 312"/>
              <a:gd name="T7" fmla="*/ 179 h 185"/>
              <a:gd name="T8" fmla="*/ 305 w 312"/>
              <a:gd name="T9" fmla="*/ 184 h 185"/>
              <a:gd name="T10" fmla="*/ 275 w 312"/>
              <a:gd name="T11" fmla="*/ 185 h 185"/>
              <a:gd name="T12" fmla="*/ 212 w 312"/>
              <a:gd name="T13" fmla="*/ 184 h 185"/>
              <a:gd name="T14" fmla="*/ 182 w 312"/>
              <a:gd name="T15" fmla="*/ 180 h 185"/>
              <a:gd name="T16" fmla="*/ 127 w 312"/>
              <a:gd name="T17" fmla="*/ 165 h 185"/>
              <a:gd name="T18" fmla="*/ 76 w 312"/>
              <a:gd name="T19" fmla="*/ 143 h 185"/>
              <a:gd name="T20" fmla="*/ 76 w 312"/>
              <a:gd name="T21" fmla="*/ 143 h 185"/>
              <a:gd name="T22" fmla="*/ 37 w 312"/>
              <a:gd name="T23" fmla="*/ 115 h 185"/>
              <a:gd name="T24" fmla="*/ 11 w 312"/>
              <a:gd name="T25" fmla="*/ 81 h 185"/>
              <a:gd name="T26" fmla="*/ 4 w 312"/>
              <a:gd name="T27" fmla="*/ 63 h 185"/>
              <a:gd name="T28" fmla="*/ 0 w 312"/>
              <a:gd name="T29" fmla="*/ 34 h 185"/>
              <a:gd name="T30" fmla="*/ 2 w 312"/>
              <a:gd name="T31" fmla="*/ 15 h 185"/>
              <a:gd name="T32" fmla="*/ 6 w 312"/>
              <a:gd name="T33" fmla="*/ 5 h 185"/>
              <a:gd name="T34" fmla="*/ 9 w 312"/>
              <a:gd name="T35" fmla="*/ 2 h 185"/>
              <a:gd name="T36" fmla="*/ 14 w 312"/>
              <a:gd name="T37" fmla="*/ 2 h 185"/>
              <a:gd name="T38" fmla="*/ 17 w 312"/>
              <a:gd name="T39" fmla="*/ 2 h 185"/>
              <a:gd name="T40" fmla="*/ 19 w 312"/>
              <a:gd name="T41" fmla="*/ 7 h 185"/>
              <a:gd name="T42" fmla="*/ 19 w 312"/>
              <a:gd name="T43" fmla="*/ 10 h 185"/>
              <a:gd name="T44" fmla="*/ 14 w 312"/>
              <a:gd name="T45" fmla="*/ 42 h 185"/>
              <a:gd name="T46" fmla="*/ 24 w 312"/>
              <a:gd name="T47" fmla="*/ 74 h 185"/>
              <a:gd name="T48" fmla="*/ 32 w 312"/>
              <a:gd name="T49" fmla="*/ 89 h 185"/>
              <a:gd name="T50" fmla="*/ 63 w 312"/>
              <a:gd name="T51" fmla="*/ 118 h 185"/>
              <a:gd name="T52" fmla="*/ 83 w 312"/>
              <a:gd name="T53" fmla="*/ 131 h 185"/>
              <a:gd name="T54" fmla="*/ 132 w 312"/>
              <a:gd name="T55" fmla="*/ 153 h 185"/>
              <a:gd name="T56" fmla="*/ 185 w 312"/>
              <a:gd name="T57" fmla="*/ 167 h 185"/>
              <a:gd name="T58" fmla="*/ 214 w 312"/>
              <a:gd name="T59" fmla="*/ 170 h 185"/>
              <a:gd name="T60" fmla="*/ 275 w 312"/>
              <a:gd name="T61" fmla="*/ 172 h 185"/>
              <a:gd name="T62" fmla="*/ 303 w 312"/>
              <a:gd name="T63" fmla="*/ 170 h 18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312" h="185">
                <a:moveTo>
                  <a:pt x="303" y="170"/>
                </a:moveTo>
                <a:lnTo>
                  <a:pt x="303" y="170"/>
                </a:lnTo>
                <a:lnTo>
                  <a:pt x="307" y="170"/>
                </a:lnTo>
                <a:lnTo>
                  <a:pt x="308" y="172"/>
                </a:lnTo>
                <a:lnTo>
                  <a:pt x="310" y="174"/>
                </a:lnTo>
                <a:lnTo>
                  <a:pt x="312" y="177"/>
                </a:lnTo>
                <a:lnTo>
                  <a:pt x="312" y="177"/>
                </a:lnTo>
                <a:lnTo>
                  <a:pt x="312" y="179"/>
                </a:lnTo>
                <a:lnTo>
                  <a:pt x="310" y="180"/>
                </a:lnTo>
                <a:lnTo>
                  <a:pt x="305" y="184"/>
                </a:lnTo>
                <a:lnTo>
                  <a:pt x="305" y="184"/>
                </a:lnTo>
                <a:lnTo>
                  <a:pt x="275" y="185"/>
                </a:lnTo>
                <a:lnTo>
                  <a:pt x="244" y="185"/>
                </a:lnTo>
                <a:lnTo>
                  <a:pt x="212" y="184"/>
                </a:lnTo>
                <a:lnTo>
                  <a:pt x="182" y="180"/>
                </a:lnTo>
                <a:lnTo>
                  <a:pt x="182" y="180"/>
                </a:lnTo>
                <a:lnTo>
                  <a:pt x="154" y="174"/>
                </a:lnTo>
                <a:lnTo>
                  <a:pt x="127" y="165"/>
                </a:lnTo>
                <a:lnTo>
                  <a:pt x="101" y="155"/>
                </a:lnTo>
                <a:lnTo>
                  <a:pt x="76" y="143"/>
                </a:lnTo>
                <a:lnTo>
                  <a:pt x="76" y="143"/>
                </a:lnTo>
                <a:lnTo>
                  <a:pt x="76" y="143"/>
                </a:lnTo>
                <a:lnTo>
                  <a:pt x="54" y="130"/>
                </a:lnTo>
                <a:lnTo>
                  <a:pt x="37" y="115"/>
                </a:lnTo>
                <a:lnTo>
                  <a:pt x="22" y="98"/>
                </a:lnTo>
                <a:lnTo>
                  <a:pt x="11" y="81"/>
                </a:lnTo>
                <a:lnTo>
                  <a:pt x="11" y="81"/>
                </a:lnTo>
                <a:lnTo>
                  <a:pt x="4" y="63"/>
                </a:lnTo>
                <a:lnTo>
                  <a:pt x="0" y="42"/>
                </a:lnTo>
                <a:lnTo>
                  <a:pt x="0" y="34"/>
                </a:lnTo>
                <a:lnTo>
                  <a:pt x="0" y="24"/>
                </a:lnTo>
                <a:lnTo>
                  <a:pt x="2" y="15"/>
                </a:lnTo>
                <a:lnTo>
                  <a:pt x="6" y="5"/>
                </a:lnTo>
                <a:lnTo>
                  <a:pt x="6" y="5"/>
                </a:lnTo>
                <a:lnTo>
                  <a:pt x="7" y="4"/>
                </a:lnTo>
                <a:lnTo>
                  <a:pt x="9" y="2"/>
                </a:lnTo>
                <a:lnTo>
                  <a:pt x="12" y="0"/>
                </a:lnTo>
                <a:lnTo>
                  <a:pt x="14" y="2"/>
                </a:lnTo>
                <a:lnTo>
                  <a:pt x="14" y="2"/>
                </a:lnTo>
                <a:lnTo>
                  <a:pt x="17" y="2"/>
                </a:lnTo>
                <a:lnTo>
                  <a:pt x="17" y="5"/>
                </a:lnTo>
                <a:lnTo>
                  <a:pt x="19" y="7"/>
                </a:lnTo>
                <a:lnTo>
                  <a:pt x="19" y="10"/>
                </a:lnTo>
                <a:lnTo>
                  <a:pt x="19" y="10"/>
                </a:lnTo>
                <a:lnTo>
                  <a:pt x="14" y="26"/>
                </a:lnTo>
                <a:lnTo>
                  <a:pt x="14" y="42"/>
                </a:lnTo>
                <a:lnTo>
                  <a:pt x="17" y="59"/>
                </a:lnTo>
                <a:lnTo>
                  <a:pt x="24" y="74"/>
                </a:lnTo>
                <a:lnTo>
                  <a:pt x="24" y="74"/>
                </a:lnTo>
                <a:lnTo>
                  <a:pt x="32" y="89"/>
                </a:lnTo>
                <a:lnTo>
                  <a:pt x="46" y="105"/>
                </a:lnTo>
                <a:lnTo>
                  <a:pt x="63" y="118"/>
                </a:lnTo>
                <a:lnTo>
                  <a:pt x="83" y="131"/>
                </a:lnTo>
                <a:lnTo>
                  <a:pt x="83" y="131"/>
                </a:lnTo>
                <a:lnTo>
                  <a:pt x="106" y="143"/>
                </a:lnTo>
                <a:lnTo>
                  <a:pt x="132" y="153"/>
                </a:lnTo>
                <a:lnTo>
                  <a:pt x="157" y="162"/>
                </a:lnTo>
                <a:lnTo>
                  <a:pt x="185" y="167"/>
                </a:lnTo>
                <a:lnTo>
                  <a:pt x="185" y="167"/>
                </a:lnTo>
                <a:lnTo>
                  <a:pt x="214" y="170"/>
                </a:lnTo>
                <a:lnTo>
                  <a:pt x="244" y="172"/>
                </a:lnTo>
                <a:lnTo>
                  <a:pt x="275" y="172"/>
                </a:lnTo>
                <a:lnTo>
                  <a:pt x="303" y="170"/>
                </a:lnTo>
                <a:lnTo>
                  <a:pt x="303" y="170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4" name="Freeform 636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SpPr>
            <a:spLocks/>
          </xdr:cNvSpPr>
        </xdr:nvSpPr>
        <xdr:spPr bwMode="auto">
          <a:xfrm>
            <a:off x="11456044" y="11767121"/>
            <a:ext cx="212725" cy="127000"/>
          </a:xfrm>
          <a:custGeom>
            <a:avLst/>
            <a:gdLst>
              <a:gd name="T0" fmla="*/ 6 w 267"/>
              <a:gd name="T1" fmla="*/ 13 h 159"/>
              <a:gd name="T2" fmla="*/ 6 w 267"/>
              <a:gd name="T3" fmla="*/ 13 h 159"/>
              <a:gd name="T4" fmla="*/ 5 w 267"/>
              <a:gd name="T5" fmla="*/ 13 h 159"/>
              <a:gd name="T6" fmla="*/ 1 w 267"/>
              <a:gd name="T7" fmla="*/ 11 h 159"/>
              <a:gd name="T8" fmla="*/ 0 w 267"/>
              <a:gd name="T9" fmla="*/ 10 h 159"/>
              <a:gd name="T10" fmla="*/ 0 w 267"/>
              <a:gd name="T11" fmla="*/ 6 h 159"/>
              <a:gd name="T12" fmla="*/ 0 w 267"/>
              <a:gd name="T13" fmla="*/ 6 h 159"/>
              <a:gd name="T14" fmla="*/ 0 w 267"/>
              <a:gd name="T15" fmla="*/ 3 h 159"/>
              <a:gd name="T16" fmla="*/ 1 w 267"/>
              <a:gd name="T17" fmla="*/ 1 h 159"/>
              <a:gd name="T18" fmla="*/ 3 w 267"/>
              <a:gd name="T19" fmla="*/ 0 h 159"/>
              <a:gd name="T20" fmla="*/ 6 w 267"/>
              <a:gd name="T21" fmla="*/ 0 h 159"/>
              <a:gd name="T22" fmla="*/ 6 w 267"/>
              <a:gd name="T23" fmla="*/ 0 h 159"/>
              <a:gd name="T24" fmla="*/ 32 w 267"/>
              <a:gd name="T25" fmla="*/ 0 h 159"/>
              <a:gd name="T26" fmla="*/ 57 w 267"/>
              <a:gd name="T27" fmla="*/ 1 h 159"/>
              <a:gd name="T28" fmla="*/ 82 w 267"/>
              <a:gd name="T29" fmla="*/ 5 h 159"/>
              <a:gd name="T30" fmla="*/ 106 w 267"/>
              <a:gd name="T31" fmla="*/ 10 h 159"/>
              <a:gd name="T32" fmla="*/ 106 w 267"/>
              <a:gd name="T33" fmla="*/ 10 h 159"/>
              <a:gd name="T34" fmla="*/ 127 w 267"/>
              <a:gd name="T35" fmla="*/ 16 h 159"/>
              <a:gd name="T36" fmla="*/ 149 w 267"/>
              <a:gd name="T37" fmla="*/ 23 h 159"/>
              <a:gd name="T38" fmla="*/ 171 w 267"/>
              <a:gd name="T39" fmla="*/ 33 h 159"/>
              <a:gd name="T40" fmla="*/ 190 w 267"/>
              <a:gd name="T41" fmla="*/ 43 h 159"/>
              <a:gd name="T42" fmla="*/ 190 w 267"/>
              <a:gd name="T43" fmla="*/ 43 h 159"/>
              <a:gd name="T44" fmla="*/ 208 w 267"/>
              <a:gd name="T45" fmla="*/ 53 h 159"/>
              <a:gd name="T46" fmla="*/ 223 w 267"/>
              <a:gd name="T47" fmla="*/ 65 h 159"/>
              <a:gd name="T48" fmla="*/ 237 w 267"/>
              <a:gd name="T49" fmla="*/ 79 h 159"/>
              <a:gd name="T50" fmla="*/ 247 w 267"/>
              <a:gd name="T51" fmla="*/ 92 h 159"/>
              <a:gd name="T52" fmla="*/ 247 w 267"/>
              <a:gd name="T53" fmla="*/ 92 h 159"/>
              <a:gd name="T54" fmla="*/ 255 w 267"/>
              <a:gd name="T55" fmla="*/ 107 h 159"/>
              <a:gd name="T56" fmla="*/ 262 w 267"/>
              <a:gd name="T57" fmla="*/ 122 h 159"/>
              <a:gd name="T58" fmla="*/ 265 w 267"/>
              <a:gd name="T59" fmla="*/ 138 h 159"/>
              <a:gd name="T60" fmla="*/ 267 w 267"/>
              <a:gd name="T61" fmla="*/ 153 h 159"/>
              <a:gd name="T62" fmla="*/ 267 w 267"/>
              <a:gd name="T63" fmla="*/ 153 h 159"/>
              <a:gd name="T64" fmla="*/ 265 w 267"/>
              <a:gd name="T65" fmla="*/ 154 h 159"/>
              <a:gd name="T66" fmla="*/ 264 w 267"/>
              <a:gd name="T67" fmla="*/ 156 h 159"/>
              <a:gd name="T68" fmla="*/ 262 w 267"/>
              <a:gd name="T69" fmla="*/ 158 h 159"/>
              <a:gd name="T70" fmla="*/ 260 w 267"/>
              <a:gd name="T71" fmla="*/ 159 h 159"/>
              <a:gd name="T72" fmla="*/ 260 w 267"/>
              <a:gd name="T73" fmla="*/ 159 h 159"/>
              <a:gd name="T74" fmla="*/ 257 w 267"/>
              <a:gd name="T75" fmla="*/ 158 h 159"/>
              <a:gd name="T76" fmla="*/ 255 w 267"/>
              <a:gd name="T77" fmla="*/ 156 h 159"/>
              <a:gd name="T78" fmla="*/ 254 w 267"/>
              <a:gd name="T79" fmla="*/ 154 h 159"/>
              <a:gd name="T80" fmla="*/ 254 w 267"/>
              <a:gd name="T81" fmla="*/ 151 h 159"/>
              <a:gd name="T82" fmla="*/ 254 w 267"/>
              <a:gd name="T83" fmla="*/ 151 h 159"/>
              <a:gd name="T84" fmla="*/ 252 w 267"/>
              <a:gd name="T85" fmla="*/ 139 h 159"/>
              <a:gd name="T86" fmla="*/ 249 w 267"/>
              <a:gd name="T87" fmla="*/ 126 h 159"/>
              <a:gd name="T88" fmla="*/ 244 w 267"/>
              <a:gd name="T89" fmla="*/ 112 h 159"/>
              <a:gd name="T90" fmla="*/ 237 w 267"/>
              <a:gd name="T91" fmla="*/ 99 h 159"/>
              <a:gd name="T92" fmla="*/ 237 w 267"/>
              <a:gd name="T93" fmla="*/ 99 h 159"/>
              <a:gd name="T94" fmla="*/ 227 w 267"/>
              <a:gd name="T95" fmla="*/ 87 h 159"/>
              <a:gd name="T96" fmla="*/ 215 w 267"/>
              <a:gd name="T97" fmla="*/ 75 h 159"/>
              <a:gd name="T98" fmla="*/ 200 w 267"/>
              <a:gd name="T99" fmla="*/ 65 h 159"/>
              <a:gd name="T100" fmla="*/ 183 w 267"/>
              <a:gd name="T101" fmla="*/ 53 h 159"/>
              <a:gd name="T102" fmla="*/ 183 w 267"/>
              <a:gd name="T103" fmla="*/ 53 h 159"/>
              <a:gd name="T104" fmla="*/ 164 w 267"/>
              <a:gd name="T105" fmla="*/ 45 h 159"/>
              <a:gd name="T106" fmla="*/ 144 w 267"/>
              <a:gd name="T107" fmla="*/ 37 h 159"/>
              <a:gd name="T108" fmla="*/ 124 w 267"/>
              <a:gd name="T109" fmla="*/ 30 h 159"/>
              <a:gd name="T110" fmla="*/ 102 w 267"/>
              <a:gd name="T111" fmla="*/ 23 h 159"/>
              <a:gd name="T112" fmla="*/ 102 w 267"/>
              <a:gd name="T113" fmla="*/ 23 h 159"/>
              <a:gd name="T114" fmla="*/ 79 w 267"/>
              <a:gd name="T115" fmla="*/ 18 h 159"/>
              <a:gd name="T116" fmla="*/ 55 w 267"/>
              <a:gd name="T117" fmla="*/ 15 h 159"/>
              <a:gd name="T118" fmla="*/ 32 w 267"/>
              <a:gd name="T119" fmla="*/ 13 h 159"/>
              <a:gd name="T120" fmla="*/ 6 w 267"/>
              <a:gd name="T121" fmla="*/ 13 h 159"/>
              <a:gd name="T122" fmla="*/ 6 w 267"/>
              <a:gd name="T123" fmla="*/ 13 h 1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67" h="159">
                <a:moveTo>
                  <a:pt x="6" y="13"/>
                </a:moveTo>
                <a:lnTo>
                  <a:pt x="6" y="13"/>
                </a:lnTo>
                <a:lnTo>
                  <a:pt x="5" y="13"/>
                </a:lnTo>
                <a:lnTo>
                  <a:pt x="1" y="11"/>
                </a:lnTo>
                <a:lnTo>
                  <a:pt x="0" y="10"/>
                </a:lnTo>
                <a:lnTo>
                  <a:pt x="0" y="6"/>
                </a:lnTo>
                <a:lnTo>
                  <a:pt x="0" y="6"/>
                </a:lnTo>
                <a:lnTo>
                  <a:pt x="0" y="3"/>
                </a:lnTo>
                <a:lnTo>
                  <a:pt x="1" y="1"/>
                </a:lnTo>
                <a:lnTo>
                  <a:pt x="3" y="0"/>
                </a:lnTo>
                <a:lnTo>
                  <a:pt x="6" y="0"/>
                </a:lnTo>
                <a:lnTo>
                  <a:pt x="6" y="0"/>
                </a:lnTo>
                <a:lnTo>
                  <a:pt x="32" y="0"/>
                </a:lnTo>
                <a:lnTo>
                  <a:pt x="57" y="1"/>
                </a:lnTo>
                <a:lnTo>
                  <a:pt x="82" y="5"/>
                </a:lnTo>
                <a:lnTo>
                  <a:pt x="106" y="10"/>
                </a:lnTo>
                <a:lnTo>
                  <a:pt x="106" y="10"/>
                </a:lnTo>
                <a:lnTo>
                  <a:pt x="127" y="16"/>
                </a:lnTo>
                <a:lnTo>
                  <a:pt x="149" y="23"/>
                </a:lnTo>
                <a:lnTo>
                  <a:pt x="171" y="33"/>
                </a:lnTo>
                <a:lnTo>
                  <a:pt x="190" y="43"/>
                </a:lnTo>
                <a:lnTo>
                  <a:pt x="190" y="43"/>
                </a:lnTo>
                <a:lnTo>
                  <a:pt x="208" y="53"/>
                </a:lnTo>
                <a:lnTo>
                  <a:pt x="223" y="65"/>
                </a:lnTo>
                <a:lnTo>
                  <a:pt x="237" y="79"/>
                </a:lnTo>
                <a:lnTo>
                  <a:pt x="247" y="92"/>
                </a:lnTo>
                <a:lnTo>
                  <a:pt x="247" y="92"/>
                </a:lnTo>
                <a:lnTo>
                  <a:pt x="255" y="107"/>
                </a:lnTo>
                <a:lnTo>
                  <a:pt x="262" y="122"/>
                </a:lnTo>
                <a:lnTo>
                  <a:pt x="265" y="138"/>
                </a:lnTo>
                <a:lnTo>
                  <a:pt x="267" y="153"/>
                </a:lnTo>
                <a:lnTo>
                  <a:pt x="267" y="153"/>
                </a:lnTo>
                <a:lnTo>
                  <a:pt x="265" y="154"/>
                </a:lnTo>
                <a:lnTo>
                  <a:pt x="264" y="156"/>
                </a:lnTo>
                <a:lnTo>
                  <a:pt x="262" y="158"/>
                </a:lnTo>
                <a:lnTo>
                  <a:pt x="260" y="159"/>
                </a:lnTo>
                <a:lnTo>
                  <a:pt x="260" y="159"/>
                </a:lnTo>
                <a:lnTo>
                  <a:pt x="257" y="158"/>
                </a:lnTo>
                <a:lnTo>
                  <a:pt x="255" y="156"/>
                </a:lnTo>
                <a:lnTo>
                  <a:pt x="254" y="154"/>
                </a:lnTo>
                <a:lnTo>
                  <a:pt x="254" y="151"/>
                </a:lnTo>
                <a:lnTo>
                  <a:pt x="254" y="151"/>
                </a:lnTo>
                <a:lnTo>
                  <a:pt x="252" y="139"/>
                </a:lnTo>
                <a:lnTo>
                  <a:pt x="249" y="126"/>
                </a:lnTo>
                <a:lnTo>
                  <a:pt x="244" y="112"/>
                </a:lnTo>
                <a:lnTo>
                  <a:pt x="237" y="99"/>
                </a:lnTo>
                <a:lnTo>
                  <a:pt x="237" y="99"/>
                </a:lnTo>
                <a:lnTo>
                  <a:pt x="227" y="87"/>
                </a:lnTo>
                <a:lnTo>
                  <a:pt x="215" y="75"/>
                </a:lnTo>
                <a:lnTo>
                  <a:pt x="200" y="65"/>
                </a:lnTo>
                <a:lnTo>
                  <a:pt x="183" y="53"/>
                </a:lnTo>
                <a:lnTo>
                  <a:pt x="183" y="53"/>
                </a:lnTo>
                <a:lnTo>
                  <a:pt x="164" y="45"/>
                </a:lnTo>
                <a:lnTo>
                  <a:pt x="144" y="37"/>
                </a:lnTo>
                <a:lnTo>
                  <a:pt x="124" y="30"/>
                </a:lnTo>
                <a:lnTo>
                  <a:pt x="102" y="23"/>
                </a:lnTo>
                <a:lnTo>
                  <a:pt x="102" y="23"/>
                </a:lnTo>
                <a:lnTo>
                  <a:pt x="79" y="18"/>
                </a:lnTo>
                <a:lnTo>
                  <a:pt x="55" y="15"/>
                </a:lnTo>
                <a:lnTo>
                  <a:pt x="32" y="13"/>
                </a:lnTo>
                <a:lnTo>
                  <a:pt x="6" y="13"/>
                </a:lnTo>
                <a:lnTo>
                  <a:pt x="6" y="13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5" name="Freeform 637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>
            <a:spLocks/>
          </xdr:cNvSpPr>
        </xdr:nvSpPr>
        <xdr:spPr bwMode="auto">
          <a:xfrm>
            <a:off x="11040119" y="11930634"/>
            <a:ext cx="520700" cy="204788"/>
          </a:xfrm>
          <a:custGeom>
            <a:avLst/>
            <a:gdLst>
              <a:gd name="T0" fmla="*/ 656 w 656"/>
              <a:gd name="T1" fmla="*/ 128 h 259"/>
              <a:gd name="T2" fmla="*/ 656 w 656"/>
              <a:gd name="T3" fmla="*/ 128 h 259"/>
              <a:gd name="T4" fmla="*/ 429 w 656"/>
              <a:gd name="T5" fmla="*/ 259 h 259"/>
              <a:gd name="T6" fmla="*/ 0 w 656"/>
              <a:gd name="T7" fmla="*/ 12 h 259"/>
              <a:gd name="T8" fmla="*/ 7 w 656"/>
              <a:gd name="T9" fmla="*/ 0 h 259"/>
              <a:gd name="T10" fmla="*/ 429 w 656"/>
              <a:gd name="T11" fmla="*/ 242 h 259"/>
              <a:gd name="T12" fmla="*/ 521 w 656"/>
              <a:gd name="T13" fmla="*/ 190 h 259"/>
              <a:gd name="T14" fmla="*/ 649 w 656"/>
              <a:gd name="T15" fmla="*/ 116 h 259"/>
              <a:gd name="T16" fmla="*/ 656 w 656"/>
              <a:gd name="T17" fmla="*/ 128 h 2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656" h="259">
                <a:moveTo>
                  <a:pt x="656" y="128"/>
                </a:moveTo>
                <a:lnTo>
                  <a:pt x="656" y="128"/>
                </a:lnTo>
                <a:lnTo>
                  <a:pt x="429" y="259"/>
                </a:lnTo>
                <a:lnTo>
                  <a:pt x="0" y="12"/>
                </a:lnTo>
                <a:lnTo>
                  <a:pt x="7" y="0"/>
                </a:lnTo>
                <a:lnTo>
                  <a:pt x="429" y="242"/>
                </a:lnTo>
                <a:lnTo>
                  <a:pt x="521" y="190"/>
                </a:lnTo>
                <a:lnTo>
                  <a:pt x="649" y="116"/>
                </a:lnTo>
                <a:lnTo>
                  <a:pt x="656" y="128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6" name="Freeform 638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>
            <a:spLocks/>
          </xdr:cNvSpPr>
        </xdr:nvSpPr>
        <xdr:spPr bwMode="auto">
          <a:xfrm>
            <a:off x="11729094" y="11824271"/>
            <a:ext cx="177800" cy="107950"/>
          </a:xfrm>
          <a:custGeom>
            <a:avLst/>
            <a:gdLst>
              <a:gd name="T0" fmla="*/ 223 w 223"/>
              <a:gd name="T1" fmla="*/ 12 h 136"/>
              <a:gd name="T2" fmla="*/ 6 w 223"/>
              <a:gd name="T3" fmla="*/ 136 h 136"/>
              <a:gd name="T4" fmla="*/ 0 w 223"/>
              <a:gd name="T5" fmla="*/ 125 h 136"/>
              <a:gd name="T6" fmla="*/ 217 w 223"/>
              <a:gd name="T7" fmla="*/ 0 h 136"/>
              <a:gd name="T8" fmla="*/ 223 w 223"/>
              <a:gd name="T9" fmla="*/ 12 h 1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23" h="136">
                <a:moveTo>
                  <a:pt x="223" y="12"/>
                </a:moveTo>
                <a:lnTo>
                  <a:pt x="6" y="136"/>
                </a:lnTo>
                <a:lnTo>
                  <a:pt x="0" y="125"/>
                </a:lnTo>
                <a:lnTo>
                  <a:pt x="217" y="0"/>
                </a:lnTo>
                <a:lnTo>
                  <a:pt x="223" y="12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7" name="Freeform 639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>
            <a:spLocks/>
          </xdr:cNvSpPr>
        </xdr:nvSpPr>
        <xdr:spPr bwMode="auto">
          <a:xfrm>
            <a:off x="10633719" y="11382946"/>
            <a:ext cx="523875" cy="306388"/>
          </a:xfrm>
          <a:custGeom>
            <a:avLst/>
            <a:gdLst>
              <a:gd name="T0" fmla="*/ 223 w 659"/>
              <a:gd name="T1" fmla="*/ 0 h 385"/>
              <a:gd name="T2" fmla="*/ 311 w 659"/>
              <a:gd name="T3" fmla="*/ 51 h 385"/>
              <a:gd name="T4" fmla="*/ 311 w 659"/>
              <a:gd name="T5" fmla="*/ 51 h 385"/>
              <a:gd name="T6" fmla="*/ 659 w 659"/>
              <a:gd name="T7" fmla="*/ 251 h 385"/>
              <a:gd name="T8" fmla="*/ 659 w 659"/>
              <a:gd name="T9" fmla="*/ 251 h 385"/>
              <a:gd name="T10" fmla="*/ 428 w 659"/>
              <a:gd name="T11" fmla="*/ 385 h 385"/>
              <a:gd name="T12" fmla="*/ 428 w 659"/>
              <a:gd name="T13" fmla="*/ 385 h 385"/>
              <a:gd name="T14" fmla="*/ 65 w 659"/>
              <a:gd name="T15" fmla="*/ 177 h 385"/>
              <a:gd name="T16" fmla="*/ 0 w 659"/>
              <a:gd name="T17" fmla="*/ 138 h 385"/>
              <a:gd name="T18" fmla="*/ 6 w 659"/>
              <a:gd name="T19" fmla="*/ 126 h 385"/>
              <a:gd name="T20" fmla="*/ 6 w 659"/>
              <a:gd name="T21" fmla="*/ 126 h 385"/>
              <a:gd name="T22" fmla="*/ 428 w 659"/>
              <a:gd name="T23" fmla="*/ 369 h 385"/>
              <a:gd name="T24" fmla="*/ 632 w 659"/>
              <a:gd name="T25" fmla="*/ 251 h 385"/>
              <a:gd name="T26" fmla="*/ 556 w 659"/>
              <a:gd name="T27" fmla="*/ 209 h 385"/>
              <a:gd name="T28" fmla="*/ 304 w 659"/>
              <a:gd name="T29" fmla="*/ 62 h 385"/>
              <a:gd name="T30" fmla="*/ 217 w 659"/>
              <a:gd name="T31" fmla="*/ 12 h 385"/>
              <a:gd name="T32" fmla="*/ 223 w 659"/>
              <a:gd name="T33" fmla="*/ 0 h 38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659" h="385">
                <a:moveTo>
                  <a:pt x="223" y="0"/>
                </a:moveTo>
                <a:lnTo>
                  <a:pt x="311" y="51"/>
                </a:lnTo>
                <a:lnTo>
                  <a:pt x="311" y="51"/>
                </a:lnTo>
                <a:lnTo>
                  <a:pt x="659" y="251"/>
                </a:lnTo>
                <a:lnTo>
                  <a:pt x="659" y="251"/>
                </a:lnTo>
                <a:lnTo>
                  <a:pt x="428" y="385"/>
                </a:lnTo>
                <a:lnTo>
                  <a:pt x="428" y="385"/>
                </a:lnTo>
                <a:lnTo>
                  <a:pt x="65" y="177"/>
                </a:lnTo>
                <a:lnTo>
                  <a:pt x="0" y="138"/>
                </a:lnTo>
                <a:lnTo>
                  <a:pt x="6" y="126"/>
                </a:lnTo>
                <a:lnTo>
                  <a:pt x="6" y="126"/>
                </a:lnTo>
                <a:lnTo>
                  <a:pt x="428" y="369"/>
                </a:lnTo>
                <a:lnTo>
                  <a:pt x="632" y="251"/>
                </a:lnTo>
                <a:lnTo>
                  <a:pt x="556" y="209"/>
                </a:lnTo>
                <a:lnTo>
                  <a:pt x="304" y="62"/>
                </a:lnTo>
                <a:lnTo>
                  <a:pt x="217" y="12"/>
                </a:lnTo>
                <a:lnTo>
                  <a:pt x="223" y="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8" name="Rectangle 640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SpPr>
            <a:spLocks noChangeArrowheads="1"/>
          </xdr:cNvSpPr>
        </xdr:nvSpPr>
        <xdr:spPr bwMode="auto">
          <a:xfrm>
            <a:off x="11141719" y="11581384"/>
            <a:ext cx="11113" cy="292100"/>
          </a:xfrm>
          <a:prstGeom prst="rect">
            <a:avLst/>
          </a:pr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9" name="Freeform 641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SpPr>
            <a:spLocks/>
          </xdr:cNvSpPr>
        </xdr:nvSpPr>
        <xdr:spPr bwMode="auto">
          <a:xfrm>
            <a:off x="11217919" y="11729021"/>
            <a:ext cx="523875" cy="304800"/>
          </a:xfrm>
          <a:custGeom>
            <a:avLst/>
            <a:gdLst>
              <a:gd name="T0" fmla="*/ 225 w 661"/>
              <a:gd name="T1" fmla="*/ 0 h 383"/>
              <a:gd name="T2" fmla="*/ 311 w 661"/>
              <a:gd name="T3" fmla="*/ 50 h 383"/>
              <a:gd name="T4" fmla="*/ 311 w 661"/>
              <a:gd name="T5" fmla="*/ 50 h 383"/>
              <a:gd name="T6" fmla="*/ 661 w 661"/>
              <a:gd name="T7" fmla="*/ 250 h 383"/>
              <a:gd name="T8" fmla="*/ 661 w 661"/>
              <a:gd name="T9" fmla="*/ 250 h 383"/>
              <a:gd name="T10" fmla="*/ 428 w 661"/>
              <a:gd name="T11" fmla="*/ 383 h 383"/>
              <a:gd name="T12" fmla="*/ 360 w 661"/>
              <a:gd name="T13" fmla="*/ 343 h 383"/>
              <a:gd name="T14" fmla="*/ 67 w 661"/>
              <a:gd name="T15" fmla="*/ 175 h 383"/>
              <a:gd name="T16" fmla="*/ 0 w 661"/>
              <a:gd name="T17" fmla="*/ 136 h 383"/>
              <a:gd name="T18" fmla="*/ 6 w 661"/>
              <a:gd name="T19" fmla="*/ 124 h 383"/>
              <a:gd name="T20" fmla="*/ 6 w 661"/>
              <a:gd name="T21" fmla="*/ 124 h 383"/>
              <a:gd name="T22" fmla="*/ 366 w 661"/>
              <a:gd name="T23" fmla="*/ 331 h 383"/>
              <a:gd name="T24" fmla="*/ 428 w 661"/>
              <a:gd name="T25" fmla="*/ 368 h 383"/>
              <a:gd name="T26" fmla="*/ 632 w 661"/>
              <a:gd name="T27" fmla="*/ 250 h 383"/>
              <a:gd name="T28" fmla="*/ 558 w 661"/>
              <a:gd name="T29" fmla="*/ 207 h 383"/>
              <a:gd name="T30" fmla="*/ 304 w 661"/>
              <a:gd name="T31" fmla="*/ 62 h 383"/>
              <a:gd name="T32" fmla="*/ 218 w 661"/>
              <a:gd name="T33" fmla="*/ 12 h 383"/>
              <a:gd name="T34" fmla="*/ 225 w 661"/>
              <a:gd name="T35" fmla="*/ 0 h 3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661" h="383">
                <a:moveTo>
                  <a:pt x="225" y="0"/>
                </a:moveTo>
                <a:lnTo>
                  <a:pt x="311" y="50"/>
                </a:lnTo>
                <a:lnTo>
                  <a:pt x="311" y="50"/>
                </a:lnTo>
                <a:lnTo>
                  <a:pt x="661" y="250"/>
                </a:lnTo>
                <a:lnTo>
                  <a:pt x="661" y="250"/>
                </a:lnTo>
                <a:lnTo>
                  <a:pt x="428" y="383"/>
                </a:lnTo>
                <a:lnTo>
                  <a:pt x="360" y="343"/>
                </a:lnTo>
                <a:lnTo>
                  <a:pt x="67" y="175"/>
                </a:lnTo>
                <a:lnTo>
                  <a:pt x="0" y="136"/>
                </a:lnTo>
                <a:lnTo>
                  <a:pt x="6" y="124"/>
                </a:lnTo>
                <a:lnTo>
                  <a:pt x="6" y="124"/>
                </a:lnTo>
                <a:lnTo>
                  <a:pt x="366" y="331"/>
                </a:lnTo>
                <a:lnTo>
                  <a:pt x="428" y="368"/>
                </a:lnTo>
                <a:lnTo>
                  <a:pt x="632" y="250"/>
                </a:lnTo>
                <a:lnTo>
                  <a:pt x="558" y="207"/>
                </a:lnTo>
                <a:lnTo>
                  <a:pt x="304" y="62"/>
                </a:lnTo>
                <a:lnTo>
                  <a:pt x="218" y="12"/>
                </a:lnTo>
                <a:lnTo>
                  <a:pt x="225" y="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90" name="Rectangle 642"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SpPr>
            <a:spLocks noChangeArrowheads="1"/>
          </xdr:cNvSpPr>
        </xdr:nvSpPr>
        <xdr:spPr bwMode="auto">
          <a:xfrm>
            <a:off x="11725919" y="11927459"/>
            <a:ext cx="11113" cy="290513"/>
          </a:xfrm>
          <a:prstGeom prst="rect">
            <a:avLst/>
          </a:pr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91" name="Rectangle 643">
            <a:extLst>
              <a:ext uri="{FF2B5EF4-FFF2-40B4-BE49-F238E27FC236}">
                <a16:creationId xmlns:a16="http://schemas.microsoft.com/office/drawing/2014/main" id="{00000000-0008-0000-0400-00005B000000}"/>
              </a:ext>
            </a:extLst>
          </xdr:cNvPr>
          <xdr:cNvSpPr>
            <a:spLocks noChangeArrowheads="1"/>
          </xdr:cNvSpPr>
        </xdr:nvSpPr>
        <xdr:spPr bwMode="auto">
          <a:xfrm>
            <a:off x="11552882" y="12025884"/>
            <a:ext cx="11113" cy="292100"/>
          </a:xfrm>
          <a:prstGeom prst="rect">
            <a:avLst/>
          </a:pr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92" name="Freeform 644">
            <a:extLst>
              <a:ext uri="{FF2B5EF4-FFF2-40B4-BE49-F238E27FC236}">
                <a16:creationId xmlns:a16="http://schemas.microsoft.com/office/drawing/2014/main" id="{00000000-0008-0000-0400-00005C000000}"/>
              </a:ext>
            </a:extLst>
          </xdr:cNvPr>
          <xdr:cNvSpPr>
            <a:spLocks noEditPoints="1"/>
          </xdr:cNvSpPr>
        </xdr:nvSpPr>
        <xdr:spPr bwMode="auto">
          <a:xfrm>
            <a:off x="10447982" y="11278171"/>
            <a:ext cx="1466850" cy="1154113"/>
          </a:xfrm>
          <a:custGeom>
            <a:avLst/>
            <a:gdLst>
              <a:gd name="T0" fmla="*/ 1114 w 1849"/>
              <a:gd name="T1" fmla="*/ 606 h 1455"/>
              <a:gd name="T2" fmla="*/ 1188 w 1849"/>
              <a:gd name="T3" fmla="*/ 562 h 1455"/>
              <a:gd name="T4" fmla="*/ 1189 w 1849"/>
              <a:gd name="T5" fmla="*/ 562 h 1455"/>
              <a:gd name="T6" fmla="*/ 1410 w 1849"/>
              <a:gd name="T7" fmla="*/ 434 h 1455"/>
              <a:gd name="T8" fmla="*/ 1510 w 1849"/>
              <a:gd name="T9" fmla="*/ 493 h 1455"/>
              <a:gd name="T10" fmla="*/ 1510 w 1849"/>
              <a:gd name="T11" fmla="*/ 493 h 1455"/>
              <a:gd name="T12" fmla="*/ 1738 w 1849"/>
              <a:gd name="T13" fmla="*/ 623 h 1455"/>
              <a:gd name="T14" fmla="*/ 1738 w 1849"/>
              <a:gd name="T15" fmla="*/ 624 h 1455"/>
              <a:gd name="T16" fmla="*/ 1849 w 1849"/>
              <a:gd name="T17" fmla="*/ 687 h 1455"/>
              <a:gd name="T18" fmla="*/ 1849 w 1849"/>
              <a:gd name="T19" fmla="*/ 1068 h 1455"/>
              <a:gd name="T20" fmla="*/ 1632 w 1849"/>
              <a:gd name="T21" fmla="*/ 1193 h 1455"/>
              <a:gd name="T22" fmla="*/ 1632 w 1849"/>
              <a:gd name="T23" fmla="*/ 1200 h 1455"/>
              <a:gd name="T24" fmla="*/ 1621 w 1849"/>
              <a:gd name="T25" fmla="*/ 1200 h 1455"/>
              <a:gd name="T26" fmla="*/ 1621 w 1849"/>
              <a:gd name="T27" fmla="*/ 1200 h 1455"/>
              <a:gd name="T28" fmla="*/ 1509 w 1849"/>
              <a:gd name="T29" fmla="*/ 1265 h 1455"/>
              <a:gd name="T30" fmla="*/ 1394 w 1849"/>
              <a:gd name="T31" fmla="*/ 1329 h 1455"/>
              <a:gd name="T32" fmla="*/ 1176 w 1849"/>
              <a:gd name="T33" fmla="*/ 1455 h 1455"/>
              <a:gd name="T34" fmla="*/ 1176 w 1849"/>
              <a:gd name="T35" fmla="*/ 1455 h 1455"/>
              <a:gd name="T36" fmla="*/ 737 w 1849"/>
              <a:gd name="T37" fmla="*/ 1203 h 1455"/>
              <a:gd name="T38" fmla="*/ 737 w 1849"/>
              <a:gd name="T39" fmla="*/ 1097 h 1455"/>
              <a:gd name="T40" fmla="*/ 671 w 1849"/>
              <a:gd name="T41" fmla="*/ 1132 h 1455"/>
              <a:gd name="T42" fmla="*/ 439 w 1849"/>
              <a:gd name="T43" fmla="*/ 1265 h 1455"/>
              <a:gd name="T44" fmla="*/ 0 w 1849"/>
              <a:gd name="T45" fmla="*/ 1013 h 1455"/>
              <a:gd name="T46" fmla="*/ 0 w 1849"/>
              <a:gd name="T47" fmla="*/ 387 h 1455"/>
              <a:gd name="T48" fmla="*/ 232 w 1849"/>
              <a:gd name="T49" fmla="*/ 254 h 1455"/>
              <a:gd name="T50" fmla="*/ 232 w 1849"/>
              <a:gd name="T51" fmla="*/ 254 h 1455"/>
              <a:gd name="T52" fmla="*/ 449 w 1849"/>
              <a:gd name="T53" fmla="*/ 130 h 1455"/>
              <a:gd name="T54" fmla="*/ 675 w 1849"/>
              <a:gd name="T55" fmla="*/ 0 h 1455"/>
              <a:gd name="T56" fmla="*/ 1114 w 1849"/>
              <a:gd name="T57" fmla="*/ 253 h 1455"/>
              <a:gd name="T58" fmla="*/ 1114 w 1849"/>
              <a:gd name="T59" fmla="*/ 606 h 1455"/>
              <a:gd name="T60" fmla="*/ 1196 w 1849"/>
              <a:gd name="T61" fmla="*/ 589 h 1455"/>
              <a:gd name="T62" fmla="*/ 1087 w 1849"/>
              <a:gd name="T63" fmla="*/ 653 h 1455"/>
              <a:gd name="T64" fmla="*/ 1087 w 1849"/>
              <a:gd name="T65" fmla="*/ 268 h 1455"/>
              <a:gd name="T66" fmla="*/ 675 w 1849"/>
              <a:gd name="T67" fmla="*/ 31 h 1455"/>
              <a:gd name="T68" fmla="*/ 463 w 1849"/>
              <a:gd name="T69" fmla="*/ 153 h 1455"/>
              <a:gd name="T70" fmla="*/ 246 w 1849"/>
              <a:gd name="T71" fmla="*/ 278 h 1455"/>
              <a:gd name="T72" fmla="*/ 246 w 1849"/>
              <a:gd name="T73" fmla="*/ 278 h 1455"/>
              <a:gd name="T74" fmla="*/ 27 w 1849"/>
              <a:gd name="T75" fmla="*/ 402 h 1455"/>
              <a:gd name="T76" fmla="*/ 27 w 1849"/>
              <a:gd name="T77" fmla="*/ 998 h 1455"/>
              <a:gd name="T78" fmla="*/ 439 w 1849"/>
              <a:gd name="T79" fmla="*/ 1235 h 1455"/>
              <a:gd name="T80" fmla="*/ 439 w 1849"/>
              <a:gd name="T81" fmla="*/ 1235 h 1455"/>
              <a:gd name="T82" fmla="*/ 601 w 1849"/>
              <a:gd name="T83" fmla="*/ 1141 h 1455"/>
              <a:gd name="T84" fmla="*/ 764 w 1849"/>
              <a:gd name="T85" fmla="*/ 1052 h 1455"/>
              <a:gd name="T86" fmla="*/ 764 w 1849"/>
              <a:gd name="T87" fmla="*/ 1188 h 1455"/>
              <a:gd name="T88" fmla="*/ 1176 w 1849"/>
              <a:gd name="T89" fmla="*/ 1425 h 1455"/>
              <a:gd name="T90" fmla="*/ 1176 w 1849"/>
              <a:gd name="T91" fmla="*/ 1425 h 1455"/>
              <a:gd name="T92" fmla="*/ 1283 w 1849"/>
              <a:gd name="T93" fmla="*/ 1361 h 1455"/>
              <a:gd name="T94" fmla="*/ 1393 w 1849"/>
              <a:gd name="T95" fmla="*/ 1299 h 1455"/>
              <a:gd name="T96" fmla="*/ 1605 w 1849"/>
              <a:gd name="T97" fmla="*/ 1178 h 1455"/>
              <a:gd name="T98" fmla="*/ 1605 w 1849"/>
              <a:gd name="T99" fmla="*/ 1178 h 1455"/>
              <a:gd name="T100" fmla="*/ 1822 w 1849"/>
              <a:gd name="T101" fmla="*/ 1053 h 1455"/>
              <a:gd name="T102" fmla="*/ 1822 w 1849"/>
              <a:gd name="T103" fmla="*/ 703 h 1455"/>
              <a:gd name="T104" fmla="*/ 1721 w 1849"/>
              <a:gd name="T105" fmla="*/ 645 h 1455"/>
              <a:gd name="T106" fmla="*/ 1721 w 1849"/>
              <a:gd name="T107" fmla="*/ 645 h 1455"/>
              <a:gd name="T108" fmla="*/ 1497 w 1849"/>
              <a:gd name="T109" fmla="*/ 517 h 1455"/>
              <a:gd name="T110" fmla="*/ 1497 w 1849"/>
              <a:gd name="T111" fmla="*/ 517 h 1455"/>
              <a:gd name="T112" fmla="*/ 1410 w 1849"/>
              <a:gd name="T113" fmla="*/ 466 h 1455"/>
              <a:gd name="T114" fmla="*/ 1196 w 1849"/>
              <a:gd name="T115" fmla="*/ 589 h 1455"/>
              <a:gd name="T116" fmla="*/ 1196 w 1849"/>
              <a:gd name="T117" fmla="*/ 589 h 14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1849" h="1455">
                <a:moveTo>
                  <a:pt x="1114" y="606"/>
                </a:moveTo>
                <a:lnTo>
                  <a:pt x="1188" y="562"/>
                </a:lnTo>
                <a:lnTo>
                  <a:pt x="1189" y="562"/>
                </a:lnTo>
                <a:lnTo>
                  <a:pt x="1410" y="434"/>
                </a:lnTo>
                <a:lnTo>
                  <a:pt x="1510" y="493"/>
                </a:lnTo>
                <a:lnTo>
                  <a:pt x="1510" y="493"/>
                </a:lnTo>
                <a:lnTo>
                  <a:pt x="1738" y="623"/>
                </a:lnTo>
                <a:lnTo>
                  <a:pt x="1738" y="624"/>
                </a:lnTo>
                <a:lnTo>
                  <a:pt x="1849" y="687"/>
                </a:lnTo>
                <a:lnTo>
                  <a:pt x="1849" y="1068"/>
                </a:lnTo>
                <a:lnTo>
                  <a:pt x="1632" y="1193"/>
                </a:lnTo>
                <a:lnTo>
                  <a:pt x="1632" y="1200"/>
                </a:lnTo>
                <a:lnTo>
                  <a:pt x="1621" y="1200"/>
                </a:lnTo>
                <a:lnTo>
                  <a:pt x="1621" y="1200"/>
                </a:lnTo>
                <a:lnTo>
                  <a:pt x="1509" y="1265"/>
                </a:lnTo>
                <a:lnTo>
                  <a:pt x="1394" y="1329"/>
                </a:lnTo>
                <a:lnTo>
                  <a:pt x="1176" y="1455"/>
                </a:lnTo>
                <a:lnTo>
                  <a:pt x="1176" y="1455"/>
                </a:lnTo>
                <a:lnTo>
                  <a:pt x="737" y="1203"/>
                </a:lnTo>
                <a:lnTo>
                  <a:pt x="737" y="1097"/>
                </a:lnTo>
                <a:lnTo>
                  <a:pt x="671" y="1132"/>
                </a:lnTo>
                <a:lnTo>
                  <a:pt x="439" y="1265"/>
                </a:lnTo>
                <a:lnTo>
                  <a:pt x="0" y="1013"/>
                </a:lnTo>
                <a:lnTo>
                  <a:pt x="0" y="387"/>
                </a:lnTo>
                <a:lnTo>
                  <a:pt x="232" y="254"/>
                </a:lnTo>
                <a:lnTo>
                  <a:pt x="232" y="254"/>
                </a:lnTo>
                <a:lnTo>
                  <a:pt x="449" y="130"/>
                </a:lnTo>
                <a:lnTo>
                  <a:pt x="675" y="0"/>
                </a:lnTo>
                <a:lnTo>
                  <a:pt x="1114" y="253"/>
                </a:lnTo>
                <a:lnTo>
                  <a:pt x="1114" y="606"/>
                </a:lnTo>
                <a:close/>
                <a:moveTo>
                  <a:pt x="1196" y="589"/>
                </a:moveTo>
                <a:lnTo>
                  <a:pt x="1087" y="653"/>
                </a:lnTo>
                <a:lnTo>
                  <a:pt x="1087" y="268"/>
                </a:lnTo>
                <a:lnTo>
                  <a:pt x="675" y="31"/>
                </a:lnTo>
                <a:lnTo>
                  <a:pt x="463" y="153"/>
                </a:lnTo>
                <a:lnTo>
                  <a:pt x="246" y="278"/>
                </a:lnTo>
                <a:lnTo>
                  <a:pt x="246" y="278"/>
                </a:lnTo>
                <a:lnTo>
                  <a:pt x="27" y="402"/>
                </a:lnTo>
                <a:lnTo>
                  <a:pt x="27" y="998"/>
                </a:lnTo>
                <a:lnTo>
                  <a:pt x="439" y="1235"/>
                </a:lnTo>
                <a:lnTo>
                  <a:pt x="439" y="1235"/>
                </a:lnTo>
                <a:lnTo>
                  <a:pt x="601" y="1141"/>
                </a:lnTo>
                <a:lnTo>
                  <a:pt x="764" y="1052"/>
                </a:lnTo>
                <a:lnTo>
                  <a:pt x="764" y="1188"/>
                </a:lnTo>
                <a:lnTo>
                  <a:pt x="1176" y="1425"/>
                </a:lnTo>
                <a:lnTo>
                  <a:pt x="1176" y="1425"/>
                </a:lnTo>
                <a:lnTo>
                  <a:pt x="1283" y="1361"/>
                </a:lnTo>
                <a:lnTo>
                  <a:pt x="1393" y="1299"/>
                </a:lnTo>
                <a:lnTo>
                  <a:pt x="1605" y="1178"/>
                </a:lnTo>
                <a:lnTo>
                  <a:pt x="1605" y="1178"/>
                </a:lnTo>
                <a:lnTo>
                  <a:pt x="1822" y="1053"/>
                </a:lnTo>
                <a:lnTo>
                  <a:pt x="1822" y="703"/>
                </a:lnTo>
                <a:lnTo>
                  <a:pt x="1721" y="645"/>
                </a:lnTo>
                <a:lnTo>
                  <a:pt x="1721" y="645"/>
                </a:lnTo>
                <a:lnTo>
                  <a:pt x="1497" y="517"/>
                </a:lnTo>
                <a:lnTo>
                  <a:pt x="1497" y="517"/>
                </a:lnTo>
                <a:lnTo>
                  <a:pt x="1410" y="466"/>
                </a:lnTo>
                <a:lnTo>
                  <a:pt x="1196" y="589"/>
                </a:lnTo>
                <a:lnTo>
                  <a:pt x="1196" y="589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93" name="Freeform 645">
            <a:extLst>
              <a:ext uri="{FF2B5EF4-FFF2-40B4-BE49-F238E27FC236}">
                <a16:creationId xmlns:a16="http://schemas.microsoft.com/office/drawing/2014/main" id="{00000000-0008-0000-0400-00005D000000}"/>
              </a:ext>
            </a:extLst>
          </xdr:cNvPr>
          <xdr:cNvSpPr>
            <a:spLocks/>
          </xdr:cNvSpPr>
        </xdr:nvSpPr>
        <xdr:spPr bwMode="auto">
          <a:xfrm>
            <a:off x="11036944" y="11771884"/>
            <a:ext cx="285750" cy="357188"/>
          </a:xfrm>
          <a:custGeom>
            <a:avLst/>
            <a:gdLst>
              <a:gd name="T0" fmla="*/ 359 w 359"/>
              <a:gd name="T1" fmla="*/ 11 h 450"/>
              <a:gd name="T2" fmla="*/ 13 w 359"/>
              <a:gd name="T3" fmla="*/ 210 h 450"/>
              <a:gd name="T4" fmla="*/ 13 w 359"/>
              <a:gd name="T5" fmla="*/ 450 h 450"/>
              <a:gd name="T6" fmla="*/ 0 w 359"/>
              <a:gd name="T7" fmla="*/ 450 h 450"/>
              <a:gd name="T8" fmla="*/ 0 w 359"/>
              <a:gd name="T9" fmla="*/ 201 h 450"/>
              <a:gd name="T10" fmla="*/ 353 w 359"/>
              <a:gd name="T11" fmla="*/ 0 h 450"/>
              <a:gd name="T12" fmla="*/ 359 w 359"/>
              <a:gd name="T13" fmla="*/ 11 h 45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359" h="450">
                <a:moveTo>
                  <a:pt x="359" y="11"/>
                </a:moveTo>
                <a:lnTo>
                  <a:pt x="13" y="210"/>
                </a:lnTo>
                <a:lnTo>
                  <a:pt x="13" y="450"/>
                </a:lnTo>
                <a:lnTo>
                  <a:pt x="0" y="450"/>
                </a:lnTo>
                <a:lnTo>
                  <a:pt x="0" y="201"/>
                </a:lnTo>
                <a:lnTo>
                  <a:pt x="353" y="0"/>
                </a:lnTo>
                <a:lnTo>
                  <a:pt x="359" y="11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>
    <xdr:from>
      <xdr:col>5</xdr:col>
      <xdr:colOff>770475</xdr:colOff>
      <xdr:row>9</xdr:row>
      <xdr:rowOff>173182</xdr:rowOff>
    </xdr:from>
    <xdr:to>
      <xdr:col>5</xdr:col>
      <xdr:colOff>1645227</xdr:colOff>
      <xdr:row>9</xdr:row>
      <xdr:rowOff>1063276</xdr:rowOff>
    </xdr:to>
    <xdr:grpSp>
      <xdr:nvGrpSpPr>
        <xdr:cNvPr id="102" name="Группа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GrpSpPr/>
      </xdr:nvGrpSpPr>
      <xdr:grpSpPr>
        <a:xfrm>
          <a:off x="7356332" y="2105396"/>
          <a:ext cx="874752" cy="890094"/>
          <a:chOff x="9496425" y="11787188"/>
          <a:chExt cx="1128713" cy="1152525"/>
        </a:xfrm>
      </xdr:grpSpPr>
      <xdr:sp macro="" textlink="">
        <xdr:nvSpPr>
          <xdr:cNvPr id="103" name="Freeform 480">
            <a:extLst>
              <a:ext uri="{FF2B5EF4-FFF2-40B4-BE49-F238E27FC236}">
                <a16:creationId xmlns:a16="http://schemas.microsoft.com/office/drawing/2014/main" id="{00000000-0008-0000-0400-000067000000}"/>
              </a:ext>
            </a:extLst>
          </xdr:cNvPr>
          <xdr:cNvSpPr>
            <a:spLocks noEditPoints="1"/>
          </xdr:cNvSpPr>
        </xdr:nvSpPr>
        <xdr:spPr bwMode="auto">
          <a:xfrm>
            <a:off x="10260013" y="11955463"/>
            <a:ext cx="330200" cy="871538"/>
          </a:xfrm>
          <a:custGeom>
            <a:avLst/>
            <a:gdLst>
              <a:gd name="T0" fmla="*/ 59 w 417"/>
              <a:gd name="T1" fmla="*/ 1026 h 1096"/>
              <a:gd name="T2" fmla="*/ 111 w 417"/>
              <a:gd name="T3" fmla="*/ 982 h 1096"/>
              <a:gd name="T4" fmla="*/ 195 w 417"/>
              <a:gd name="T5" fmla="*/ 933 h 1096"/>
              <a:gd name="T6" fmla="*/ 244 w 417"/>
              <a:gd name="T7" fmla="*/ 915 h 1096"/>
              <a:gd name="T8" fmla="*/ 291 w 417"/>
              <a:gd name="T9" fmla="*/ 903 h 1096"/>
              <a:gd name="T10" fmla="*/ 362 w 417"/>
              <a:gd name="T11" fmla="*/ 893 h 1096"/>
              <a:gd name="T12" fmla="*/ 389 w 417"/>
              <a:gd name="T13" fmla="*/ 794 h 1096"/>
              <a:gd name="T14" fmla="*/ 401 w 417"/>
              <a:gd name="T15" fmla="*/ 710 h 1096"/>
              <a:gd name="T16" fmla="*/ 402 w 417"/>
              <a:gd name="T17" fmla="*/ 609 h 1096"/>
              <a:gd name="T18" fmla="*/ 396 w 417"/>
              <a:gd name="T19" fmla="*/ 555 h 1096"/>
              <a:gd name="T20" fmla="*/ 377 w 417"/>
              <a:gd name="T21" fmla="*/ 469 h 1096"/>
              <a:gd name="T22" fmla="*/ 348 w 417"/>
              <a:gd name="T23" fmla="*/ 390 h 1096"/>
              <a:gd name="T24" fmla="*/ 298 w 417"/>
              <a:gd name="T25" fmla="*/ 296 h 1096"/>
              <a:gd name="T26" fmla="*/ 209 w 417"/>
              <a:gd name="T27" fmla="*/ 183 h 1096"/>
              <a:gd name="T28" fmla="*/ 158 w 417"/>
              <a:gd name="T29" fmla="*/ 131 h 1096"/>
              <a:gd name="T30" fmla="*/ 64 w 417"/>
              <a:gd name="T31" fmla="*/ 57 h 1096"/>
              <a:gd name="T32" fmla="*/ 54 w 417"/>
              <a:gd name="T33" fmla="*/ 96 h 1096"/>
              <a:gd name="T34" fmla="*/ 93 w 417"/>
              <a:gd name="T35" fmla="*/ 227 h 1096"/>
              <a:gd name="T36" fmla="*/ 125 w 417"/>
              <a:gd name="T37" fmla="*/ 398 h 1096"/>
              <a:gd name="T38" fmla="*/ 133 w 417"/>
              <a:gd name="T39" fmla="*/ 504 h 1096"/>
              <a:gd name="T40" fmla="*/ 133 w 417"/>
              <a:gd name="T41" fmla="*/ 619 h 1096"/>
              <a:gd name="T42" fmla="*/ 120 w 417"/>
              <a:gd name="T43" fmla="*/ 741 h 1096"/>
              <a:gd name="T44" fmla="*/ 95 w 417"/>
              <a:gd name="T45" fmla="*/ 869 h 1096"/>
              <a:gd name="T46" fmla="*/ 54 w 417"/>
              <a:gd name="T47" fmla="*/ 1004 h 1096"/>
              <a:gd name="T48" fmla="*/ 96 w 417"/>
              <a:gd name="T49" fmla="*/ 1011 h 1096"/>
              <a:gd name="T50" fmla="*/ 59 w 417"/>
              <a:gd name="T51" fmla="*/ 1044 h 1096"/>
              <a:gd name="T52" fmla="*/ 22 w 417"/>
              <a:gd name="T53" fmla="*/ 1088 h 1096"/>
              <a:gd name="T54" fmla="*/ 15 w 417"/>
              <a:gd name="T55" fmla="*/ 1095 h 1096"/>
              <a:gd name="T56" fmla="*/ 10 w 417"/>
              <a:gd name="T57" fmla="*/ 1095 h 1096"/>
              <a:gd name="T58" fmla="*/ 7 w 417"/>
              <a:gd name="T59" fmla="*/ 1088 h 1096"/>
              <a:gd name="T60" fmla="*/ 12 w 417"/>
              <a:gd name="T61" fmla="*/ 1071 h 1096"/>
              <a:gd name="T62" fmla="*/ 64 w 417"/>
              <a:gd name="T63" fmla="*/ 930 h 1096"/>
              <a:gd name="T64" fmla="*/ 98 w 417"/>
              <a:gd name="T65" fmla="*/ 795 h 1096"/>
              <a:gd name="T66" fmla="*/ 115 w 417"/>
              <a:gd name="T67" fmla="*/ 667 h 1096"/>
              <a:gd name="T68" fmla="*/ 121 w 417"/>
              <a:gd name="T69" fmla="*/ 546 h 1096"/>
              <a:gd name="T70" fmla="*/ 115 w 417"/>
              <a:gd name="T71" fmla="*/ 435 h 1096"/>
              <a:gd name="T72" fmla="*/ 101 w 417"/>
              <a:gd name="T73" fmla="*/ 333 h 1096"/>
              <a:gd name="T74" fmla="*/ 61 w 417"/>
              <a:gd name="T75" fmla="*/ 163 h 1096"/>
              <a:gd name="T76" fmla="*/ 9 w 417"/>
              <a:gd name="T77" fmla="*/ 20 h 1096"/>
              <a:gd name="T78" fmla="*/ 17 w 417"/>
              <a:gd name="T79" fmla="*/ 12 h 1096"/>
              <a:gd name="T80" fmla="*/ 100 w 417"/>
              <a:gd name="T81" fmla="*/ 65 h 1096"/>
              <a:gd name="T82" fmla="*/ 189 w 417"/>
              <a:gd name="T83" fmla="*/ 141 h 1096"/>
              <a:gd name="T84" fmla="*/ 251 w 417"/>
              <a:gd name="T85" fmla="*/ 208 h 1096"/>
              <a:gd name="T86" fmla="*/ 337 w 417"/>
              <a:gd name="T87" fmla="*/ 334 h 1096"/>
              <a:gd name="T88" fmla="*/ 370 w 417"/>
              <a:gd name="T89" fmla="*/ 410 h 1096"/>
              <a:gd name="T90" fmla="*/ 397 w 417"/>
              <a:gd name="T91" fmla="*/ 493 h 1096"/>
              <a:gd name="T92" fmla="*/ 409 w 417"/>
              <a:gd name="T93" fmla="*/ 553 h 1096"/>
              <a:gd name="T94" fmla="*/ 417 w 417"/>
              <a:gd name="T95" fmla="*/ 634 h 1096"/>
              <a:gd name="T96" fmla="*/ 409 w 417"/>
              <a:gd name="T97" fmla="*/ 757 h 1096"/>
              <a:gd name="T98" fmla="*/ 392 w 417"/>
              <a:gd name="T99" fmla="*/ 837 h 1096"/>
              <a:gd name="T100" fmla="*/ 372 w 417"/>
              <a:gd name="T101" fmla="*/ 906 h 1096"/>
              <a:gd name="T102" fmla="*/ 333 w 417"/>
              <a:gd name="T103" fmla="*/ 908 h 1096"/>
              <a:gd name="T104" fmla="*/ 271 w 417"/>
              <a:gd name="T105" fmla="*/ 920 h 1096"/>
              <a:gd name="T106" fmla="*/ 200 w 417"/>
              <a:gd name="T107" fmla="*/ 945 h 1096"/>
              <a:gd name="T108" fmla="*/ 170 w 417"/>
              <a:gd name="T109" fmla="*/ 960 h 1096"/>
              <a:gd name="T110" fmla="*/ 96 w 417"/>
              <a:gd name="T111" fmla="*/ 1011 h 1096"/>
              <a:gd name="T112" fmla="*/ 14 w 417"/>
              <a:gd name="T113" fmla="*/ 1081 h 1096"/>
              <a:gd name="T114" fmla="*/ 15 w 417"/>
              <a:gd name="T115" fmla="*/ 1083 h 109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417" h="1096">
                <a:moveTo>
                  <a:pt x="36" y="1049"/>
                </a:moveTo>
                <a:lnTo>
                  <a:pt x="36" y="1049"/>
                </a:lnTo>
                <a:lnTo>
                  <a:pt x="59" y="1026"/>
                </a:lnTo>
                <a:lnTo>
                  <a:pt x="88" y="999"/>
                </a:lnTo>
                <a:lnTo>
                  <a:pt x="88" y="999"/>
                </a:lnTo>
                <a:lnTo>
                  <a:pt x="111" y="982"/>
                </a:lnTo>
                <a:lnTo>
                  <a:pt x="137" y="965"/>
                </a:lnTo>
                <a:lnTo>
                  <a:pt x="165" y="948"/>
                </a:lnTo>
                <a:lnTo>
                  <a:pt x="195" y="933"/>
                </a:lnTo>
                <a:lnTo>
                  <a:pt x="195" y="933"/>
                </a:lnTo>
                <a:lnTo>
                  <a:pt x="221" y="923"/>
                </a:lnTo>
                <a:lnTo>
                  <a:pt x="244" y="915"/>
                </a:lnTo>
                <a:lnTo>
                  <a:pt x="268" y="908"/>
                </a:lnTo>
                <a:lnTo>
                  <a:pt x="291" y="903"/>
                </a:lnTo>
                <a:lnTo>
                  <a:pt x="291" y="903"/>
                </a:lnTo>
                <a:lnTo>
                  <a:pt x="328" y="896"/>
                </a:lnTo>
                <a:lnTo>
                  <a:pt x="362" y="893"/>
                </a:lnTo>
                <a:lnTo>
                  <a:pt x="362" y="893"/>
                </a:lnTo>
                <a:lnTo>
                  <a:pt x="372" y="864"/>
                </a:lnTo>
                <a:lnTo>
                  <a:pt x="380" y="831"/>
                </a:lnTo>
                <a:lnTo>
                  <a:pt x="389" y="794"/>
                </a:lnTo>
                <a:lnTo>
                  <a:pt x="396" y="755"/>
                </a:lnTo>
                <a:lnTo>
                  <a:pt x="396" y="755"/>
                </a:lnTo>
                <a:lnTo>
                  <a:pt x="401" y="710"/>
                </a:lnTo>
                <a:lnTo>
                  <a:pt x="404" y="661"/>
                </a:lnTo>
                <a:lnTo>
                  <a:pt x="404" y="636"/>
                </a:lnTo>
                <a:lnTo>
                  <a:pt x="402" y="609"/>
                </a:lnTo>
                <a:lnTo>
                  <a:pt x="399" y="582"/>
                </a:lnTo>
                <a:lnTo>
                  <a:pt x="396" y="555"/>
                </a:lnTo>
                <a:lnTo>
                  <a:pt x="396" y="555"/>
                </a:lnTo>
                <a:lnTo>
                  <a:pt x="391" y="525"/>
                </a:lnTo>
                <a:lnTo>
                  <a:pt x="384" y="496"/>
                </a:lnTo>
                <a:lnTo>
                  <a:pt x="377" y="469"/>
                </a:lnTo>
                <a:lnTo>
                  <a:pt x="369" y="440"/>
                </a:lnTo>
                <a:lnTo>
                  <a:pt x="359" y="415"/>
                </a:lnTo>
                <a:lnTo>
                  <a:pt x="348" y="390"/>
                </a:lnTo>
                <a:lnTo>
                  <a:pt x="337" y="365"/>
                </a:lnTo>
                <a:lnTo>
                  <a:pt x="325" y="341"/>
                </a:lnTo>
                <a:lnTo>
                  <a:pt x="298" y="296"/>
                </a:lnTo>
                <a:lnTo>
                  <a:pt x="269" y="255"/>
                </a:lnTo>
                <a:lnTo>
                  <a:pt x="241" y="217"/>
                </a:lnTo>
                <a:lnTo>
                  <a:pt x="209" y="183"/>
                </a:lnTo>
                <a:lnTo>
                  <a:pt x="209" y="183"/>
                </a:lnTo>
                <a:lnTo>
                  <a:pt x="184" y="156"/>
                </a:lnTo>
                <a:lnTo>
                  <a:pt x="158" y="131"/>
                </a:lnTo>
                <a:lnTo>
                  <a:pt x="133" y="109"/>
                </a:lnTo>
                <a:lnTo>
                  <a:pt x="108" y="89"/>
                </a:lnTo>
                <a:lnTo>
                  <a:pt x="64" y="57"/>
                </a:lnTo>
                <a:lnTo>
                  <a:pt x="29" y="33"/>
                </a:lnTo>
                <a:lnTo>
                  <a:pt x="29" y="33"/>
                </a:lnTo>
                <a:lnTo>
                  <a:pt x="54" y="96"/>
                </a:lnTo>
                <a:lnTo>
                  <a:pt x="66" y="134"/>
                </a:lnTo>
                <a:lnTo>
                  <a:pt x="81" y="178"/>
                </a:lnTo>
                <a:lnTo>
                  <a:pt x="93" y="227"/>
                </a:lnTo>
                <a:lnTo>
                  <a:pt x="106" y="279"/>
                </a:lnTo>
                <a:lnTo>
                  <a:pt x="116" y="336"/>
                </a:lnTo>
                <a:lnTo>
                  <a:pt x="125" y="398"/>
                </a:lnTo>
                <a:lnTo>
                  <a:pt x="125" y="398"/>
                </a:lnTo>
                <a:lnTo>
                  <a:pt x="132" y="467"/>
                </a:lnTo>
                <a:lnTo>
                  <a:pt x="133" y="504"/>
                </a:lnTo>
                <a:lnTo>
                  <a:pt x="135" y="541"/>
                </a:lnTo>
                <a:lnTo>
                  <a:pt x="133" y="580"/>
                </a:lnTo>
                <a:lnTo>
                  <a:pt x="133" y="619"/>
                </a:lnTo>
                <a:lnTo>
                  <a:pt x="130" y="659"/>
                </a:lnTo>
                <a:lnTo>
                  <a:pt x="126" y="699"/>
                </a:lnTo>
                <a:lnTo>
                  <a:pt x="120" y="741"/>
                </a:lnTo>
                <a:lnTo>
                  <a:pt x="113" y="784"/>
                </a:lnTo>
                <a:lnTo>
                  <a:pt x="105" y="826"/>
                </a:lnTo>
                <a:lnTo>
                  <a:pt x="95" y="869"/>
                </a:lnTo>
                <a:lnTo>
                  <a:pt x="83" y="915"/>
                </a:lnTo>
                <a:lnTo>
                  <a:pt x="69" y="958"/>
                </a:lnTo>
                <a:lnTo>
                  <a:pt x="54" y="1004"/>
                </a:lnTo>
                <a:lnTo>
                  <a:pt x="36" y="1049"/>
                </a:lnTo>
                <a:lnTo>
                  <a:pt x="36" y="1049"/>
                </a:lnTo>
                <a:close/>
                <a:moveTo>
                  <a:pt x="96" y="1011"/>
                </a:moveTo>
                <a:lnTo>
                  <a:pt x="96" y="1011"/>
                </a:lnTo>
                <a:lnTo>
                  <a:pt x="78" y="1027"/>
                </a:lnTo>
                <a:lnTo>
                  <a:pt x="59" y="1044"/>
                </a:lnTo>
                <a:lnTo>
                  <a:pt x="32" y="1074"/>
                </a:lnTo>
                <a:lnTo>
                  <a:pt x="32" y="1074"/>
                </a:lnTo>
                <a:lnTo>
                  <a:pt x="22" y="1088"/>
                </a:lnTo>
                <a:lnTo>
                  <a:pt x="22" y="1088"/>
                </a:lnTo>
                <a:lnTo>
                  <a:pt x="22" y="1088"/>
                </a:lnTo>
                <a:lnTo>
                  <a:pt x="15" y="1095"/>
                </a:lnTo>
                <a:lnTo>
                  <a:pt x="14" y="1096"/>
                </a:lnTo>
                <a:lnTo>
                  <a:pt x="10" y="1095"/>
                </a:lnTo>
                <a:lnTo>
                  <a:pt x="10" y="1095"/>
                </a:lnTo>
                <a:lnTo>
                  <a:pt x="10" y="1095"/>
                </a:lnTo>
                <a:lnTo>
                  <a:pt x="7" y="1093"/>
                </a:lnTo>
                <a:lnTo>
                  <a:pt x="7" y="1088"/>
                </a:lnTo>
                <a:lnTo>
                  <a:pt x="9" y="1081"/>
                </a:lnTo>
                <a:lnTo>
                  <a:pt x="12" y="1071"/>
                </a:lnTo>
                <a:lnTo>
                  <a:pt x="12" y="1071"/>
                </a:lnTo>
                <a:lnTo>
                  <a:pt x="32" y="1024"/>
                </a:lnTo>
                <a:lnTo>
                  <a:pt x="49" y="977"/>
                </a:lnTo>
                <a:lnTo>
                  <a:pt x="64" y="930"/>
                </a:lnTo>
                <a:lnTo>
                  <a:pt x="76" y="884"/>
                </a:lnTo>
                <a:lnTo>
                  <a:pt x="88" y="841"/>
                </a:lnTo>
                <a:lnTo>
                  <a:pt x="98" y="795"/>
                </a:lnTo>
                <a:lnTo>
                  <a:pt x="105" y="752"/>
                </a:lnTo>
                <a:lnTo>
                  <a:pt x="111" y="710"/>
                </a:lnTo>
                <a:lnTo>
                  <a:pt x="115" y="667"/>
                </a:lnTo>
                <a:lnTo>
                  <a:pt x="118" y="627"/>
                </a:lnTo>
                <a:lnTo>
                  <a:pt x="120" y="587"/>
                </a:lnTo>
                <a:lnTo>
                  <a:pt x="121" y="546"/>
                </a:lnTo>
                <a:lnTo>
                  <a:pt x="120" y="508"/>
                </a:lnTo>
                <a:lnTo>
                  <a:pt x="118" y="471"/>
                </a:lnTo>
                <a:lnTo>
                  <a:pt x="115" y="435"/>
                </a:lnTo>
                <a:lnTo>
                  <a:pt x="111" y="400"/>
                </a:lnTo>
                <a:lnTo>
                  <a:pt x="111" y="400"/>
                </a:lnTo>
                <a:lnTo>
                  <a:pt x="101" y="333"/>
                </a:lnTo>
                <a:lnTo>
                  <a:pt x="89" y="271"/>
                </a:lnTo>
                <a:lnTo>
                  <a:pt x="76" y="213"/>
                </a:lnTo>
                <a:lnTo>
                  <a:pt x="61" y="163"/>
                </a:lnTo>
                <a:lnTo>
                  <a:pt x="47" y="117"/>
                </a:lnTo>
                <a:lnTo>
                  <a:pt x="32" y="79"/>
                </a:lnTo>
                <a:lnTo>
                  <a:pt x="9" y="20"/>
                </a:lnTo>
                <a:lnTo>
                  <a:pt x="0" y="0"/>
                </a:lnTo>
                <a:lnTo>
                  <a:pt x="17" y="12"/>
                </a:lnTo>
                <a:lnTo>
                  <a:pt x="17" y="12"/>
                </a:lnTo>
                <a:lnTo>
                  <a:pt x="52" y="32"/>
                </a:lnTo>
                <a:lnTo>
                  <a:pt x="74" y="47"/>
                </a:lnTo>
                <a:lnTo>
                  <a:pt x="100" y="65"/>
                </a:lnTo>
                <a:lnTo>
                  <a:pt x="128" y="87"/>
                </a:lnTo>
                <a:lnTo>
                  <a:pt x="158" y="112"/>
                </a:lnTo>
                <a:lnTo>
                  <a:pt x="189" y="141"/>
                </a:lnTo>
                <a:lnTo>
                  <a:pt x="219" y="173"/>
                </a:lnTo>
                <a:lnTo>
                  <a:pt x="219" y="173"/>
                </a:lnTo>
                <a:lnTo>
                  <a:pt x="251" y="208"/>
                </a:lnTo>
                <a:lnTo>
                  <a:pt x="281" y="247"/>
                </a:lnTo>
                <a:lnTo>
                  <a:pt x="310" y="289"/>
                </a:lnTo>
                <a:lnTo>
                  <a:pt x="337" y="334"/>
                </a:lnTo>
                <a:lnTo>
                  <a:pt x="348" y="360"/>
                </a:lnTo>
                <a:lnTo>
                  <a:pt x="360" y="385"/>
                </a:lnTo>
                <a:lnTo>
                  <a:pt x="370" y="410"/>
                </a:lnTo>
                <a:lnTo>
                  <a:pt x="380" y="437"/>
                </a:lnTo>
                <a:lnTo>
                  <a:pt x="391" y="464"/>
                </a:lnTo>
                <a:lnTo>
                  <a:pt x="397" y="493"/>
                </a:lnTo>
                <a:lnTo>
                  <a:pt x="404" y="523"/>
                </a:lnTo>
                <a:lnTo>
                  <a:pt x="409" y="553"/>
                </a:lnTo>
                <a:lnTo>
                  <a:pt x="409" y="553"/>
                </a:lnTo>
                <a:lnTo>
                  <a:pt x="412" y="582"/>
                </a:lnTo>
                <a:lnTo>
                  <a:pt x="416" y="609"/>
                </a:lnTo>
                <a:lnTo>
                  <a:pt x="417" y="634"/>
                </a:lnTo>
                <a:lnTo>
                  <a:pt x="417" y="661"/>
                </a:lnTo>
                <a:lnTo>
                  <a:pt x="416" y="710"/>
                </a:lnTo>
                <a:lnTo>
                  <a:pt x="409" y="757"/>
                </a:lnTo>
                <a:lnTo>
                  <a:pt x="409" y="757"/>
                </a:lnTo>
                <a:lnTo>
                  <a:pt x="402" y="799"/>
                </a:lnTo>
                <a:lnTo>
                  <a:pt x="392" y="837"/>
                </a:lnTo>
                <a:lnTo>
                  <a:pt x="384" y="871"/>
                </a:lnTo>
                <a:lnTo>
                  <a:pt x="372" y="901"/>
                </a:lnTo>
                <a:lnTo>
                  <a:pt x="372" y="906"/>
                </a:lnTo>
                <a:lnTo>
                  <a:pt x="367" y="906"/>
                </a:lnTo>
                <a:lnTo>
                  <a:pt x="367" y="906"/>
                </a:lnTo>
                <a:lnTo>
                  <a:pt x="333" y="908"/>
                </a:lnTo>
                <a:lnTo>
                  <a:pt x="293" y="915"/>
                </a:lnTo>
                <a:lnTo>
                  <a:pt x="293" y="915"/>
                </a:lnTo>
                <a:lnTo>
                  <a:pt x="271" y="920"/>
                </a:lnTo>
                <a:lnTo>
                  <a:pt x="249" y="926"/>
                </a:lnTo>
                <a:lnTo>
                  <a:pt x="226" y="935"/>
                </a:lnTo>
                <a:lnTo>
                  <a:pt x="200" y="945"/>
                </a:lnTo>
                <a:lnTo>
                  <a:pt x="200" y="945"/>
                </a:lnTo>
                <a:lnTo>
                  <a:pt x="200" y="945"/>
                </a:lnTo>
                <a:lnTo>
                  <a:pt x="170" y="960"/>
                </a:lnTo>
                <a:lnTo>
                  <a:pt x="143" y="975"/>
                </a:lnTo>
                <a:lnTo>
                  <a:pt x="120" y="992"/>
                </a:lnTo>
                <a:lnTo>
                  <a:pt x="96" y="1011"/>
                </a:lnTo>
                <a:lnTo>
                  <a:pt x="96" y="1011"/>
                </a:lnTo>
                <a:close/>
                <a:moveTo>
                  <a:pt x="14" y="1081"/>
                </a:moveTo>
                <a:lnTo>
                  <a:pt x="14" y="1081"/>
                </a:lnTo>
                <a:lnTo>
                  <a:pt x="15" y="1083"/>
                </a:lnTo>
                <a:lnTo>
                  <a:pt x="15" y="1083"/>
                </a:lnTo>
                <a:lnTo>
                  <a:pt x="15" y="1083"/>
                </a:lnTo>
                <a:lnTo>
                  <a:pt x="14" y="1081"/>
                </a:lnTo>
                <a:lnTo>
                  <a:pt x="14" y="1081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04" name="Freeform 481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SpPr>
            <a:spLocks/>
          </xdr:cNvSpPr>
        </xdr:nvSpPr>
        <xdr:spPr bwMode="auto">
          <a:xfrm>
            <a:off x="10263188" y="11960225"/>
            <a:ext cx="238125" cy="79375"/>
          </a:xfrm>
          <a:custGeom>
            <a:avLst/>
            <a:gdLst>
              <a:gd name="T0" fmla="*/ 0 w 300"/>
              <a:gd name="T1" fmla="*/ 0 h 101"/>
              <a:gd name="T2" fmla="*/ 0 w 300"/>
              <a:gd name="T3" fmla="*/ 0 h 101"/>
              <a:gd name="T4" fmla="*/ 29 w 300"/>
              <a:gd name="T5" fmla="*/ 1 h 101"/>
              <a:gd name="T6" fmla="*/ 61 w 300"/>
              <a:gd name="T7" fmla="*/ 5 h 101"/>
              <a:gd name="T8" fmla="*/ 61 w 300"/>
              <a:gd name="T9" fmla="*/ 5 h 101"/>
              <a:gd name="T10" fmla="*/ 95 w 300"/>
              <a:gd name="T11" fmla="*/ 10 h 101"/>
              <a:gd name="T12" fmla="*/ 130 w 300"/>
              <a:gd name="T13" fmla="*/ 18 h 101"/>
              <a:gd name="T14" fmla="*/ 130 w 300"/>
              <a:gd name="T15" fmla="*/ 18 h 101"/>
              <a:gd name="T16" fmla="*/ 157 w 300"/>
              <a:gd name="T17" fmla="*/ 25 h 101"/>
              <a:gd name="T18" fmla="*/ 182 w 300"/>
              <a:gd name="T19" fmla="*/ 33 h 101"/>
              <a:gd name="T20" fmla="*/ 206 w 300"/>
              <a:gd name="T21" fmla="*/ 42 h 101"/>
              <a:gd name="T22" fmla="*/ 227 w 300"/>
              <a:gd name="T23" fmla="*/ 52 h 101"/>
              <a:gd name="T24" fmla="*/ 227 w 300"/>
              <a:gd name="T25" fmla="*/ 52 h 101"/>
              <a:gd name="T26" fmla="*/ 266 w 300"/>
              <a:gd name="T27" fmla="*/ 70 h 101"/>
              <a:gd name="T28" fmla="*/ 300 w 300"/>
              <a:gd name="T29" fmla="*/ 89 h 101"/>
              <a:gd name="T30" fmla="*/ 291 w 300"/>
              <a:gd name="T31" fmla="*/ 101 h 101"/>
              <a:gd name="T32" fmla="*/ 291 w 300"/>
              <a:gd name="T33" fmla="*/ 101 h 101"/>
              <a:gd name="T34" fmla="*/ 259 w 300"/>
              <a:gd name="T35" fmla="*/ 82 h 101"/>
              <a:gd name="T36" fmla="*/ 222 w 300"/>
              <a:gd name="T37" fmla="*/ 64 h 101"/>
              <a:gd name="T38" fmla="*/ 222 w 300"/>
              <a:gd name="T39" fmla="*/ 64 h 101"/>
              <a:gd name="T40" fmla="*/ 201 w 300"/>
              <a:gd name="T41" fmla="*/ 55 h 101"/>
              <a:gd name="T42" fmla="*/ 177 w 300"/>
              <a:gd name="T43" fmla="*/ 45 h 101"/>
              <a:gd name="T44" fmla="*/ 153 w 300"/>
              <a:gd name="T45" fmla="*/ 38 h 101"/>
              <a:gd name="T46" fmla="*/ 127 w 300"/>
              <a:gd name="T47" fmla="*/ 32 h 101"/>
              <a:gd name="T48" fmla="*/ 127 w 300"/>
              <a:gd name="T49" fmla="*/ 32 h 101"/>
              <a:gd name="T50" fmla="*/ 91 w 300"/>
              <a:gd name="T51" fmla="*/ 23 h 101"/>
              <a:gd name="T52" fmla="*/ 59 w 300"/>
              <a:gd name="T53" fmla="*/ 18 h 101"/>
              <a:gd name="T54" fmla="*/ 59 w 300"/>
              <a:gd name="T55" fmla="*/ 18 h 101"/>
              <a:gd name="T56" fmla="*/ 29 w 300"/>
              <a:gd name="T57" fmla="*/ 15 h 101"/>
              <a:gd name="T58" fmla="*/ 0 w 300"/>
              <a:gd name="T59" fmla="*/ 13 h 101"/>
              <a:gd name="T60" fmla="*/ 0 w 300"/>
              <a:gd name="T61" fmla="*/ 0 h 1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</a:cxnLst>
            <a:rect l="0" t="0" r="r" b="b"/>
            <a:pathLst>
              <a:path w="300" h="101">
                <a:moveTo>
                  <a:pt x="0" y="0"/>
                </a:moveTo>
                <a:lnTo>
                  <a:pt x="0" y="0"/>
                </a:lnTo>
                <a:lnTo>
                  <a:pt x="29" y="1"/>
                </a:lnTo>
                <a:lnTo>
                  <a:pt x="61" y="5"/>
                </a:lnTo>
                <a:lnTo>
                  <a:pt x="61" y="5"/>
                </a:lnTo>
                <a:lnTo>
                  <a:pt x="95" y="10"/>
                </a:lnTo>
                <a:lnTo>
                  <a:pt x="130" y="18"/>
                </a:lnTo>
                <a:lnTo>
                  <a:pt x="130" y="18"/>
                </a:lnTo>
                <a:lnTo>
                  <a:pt x="157" y="25"/>
                </a:lnTo>
                <a:lnTo>
                  <a:pt x="182" y="33"/>
                </a:lnTo>
                <a:lnTo>
                  <a:pt x="206" y="42"/>
                </a:lnTo>
                <a:lnTo>
                  <a:pt x="227" y="52"/>
                </a:lnTo>
                <a:lnTo>
                  <a:pt x="227" y="52"/>
                </a:lnTo>
                <a:lnTo>
                  <a:pt x="266" y="70"/>
                </a:lnTo>
                <a:lnTo>
                  <a:pt x="300" y="89"/>
                </a:lnTo>
                <a:lnTo>
                  <a:pt x="291" y="101"/>
                </a:lnTo>
                <a:lnTo>
                  <a:pt x="291" y="101"/>
                </a:lnTo>
                <a:lnTo>
                  <a:pt x="259" y="82"/>
                </a:lnTo>
                <a:lnTo>
                  <a:pt x="222" y="64"/>
                </a:lnTo>
                <a:lnTo>
                  <a:pt x="222" y="64"/>
                </a:lnTo>
                <a:lnTo>
                  <a:pt x="201" y="55"/>
                </a:lnTo>
                <a:lnTo>
                  <a:pt x="177" y="45"/>
                </a:lnTo>
                <a:lnTo>
                  <a:pt x="153" y="38"/>
                </a:lnTo>
                <a:lnTo>
                  <a:pt x="127" y="32"/>
                </a:lnTo>
                <a:lnTo>
                  <a:pt x="127" y="32"/>
                </a:lnTo>
                <a:lnTo>
                  <a:pt x="91" y="23"/>
                </a:lnTo>
                <a:lnTo>
                  <a:pt x="59" y="18"/>
                </a:lnTo>
                <a:lnTo>
                  <a:pt x="59" y="18"/>
                </a:lnTo>
                <a:lnTo>
                  <a:pt x="29" y="15"/>
                </a:lnTo>
                <a:lnTo>
                  <a:pt x="0" y="13"/>
                </a:lnTo>
                <a:lnTo>
                  <a:pt x="0" y="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05" name="Freeform 482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>
            <a:spLocks noEditPoints="1"/>
          </xdr:cNvSpPr>
        </xdr:nvSpPr>
        <xdr:spPr bwMode="auto">
          <a:xfrm>
            <a:off x="9504363" y="11791950"/>
            <a:ext cx="771525" cy="280988"/>
          </a:xfrm>
          <a:custGeom>
            <a:avLst/>
            <a:gdLst>
              <a:gd name="T0" fmla="*/ 74 w 972"/>
              <a:gd name="T1" fmla="*/ 282 h 355"/>
              <a:gd name="T2" fmla="*/ 12 w 972"/>
              <a:gd name="T3" fmla="*/ 355 h 355"/>
              <a:gd name="T4" fmla="*/ 34 w 972"/>
              <a:gd name="T5" fmla="*/ 303 h 355"/>
              <a:gd name="T6" fmla="*/ 145 w 972"/>
              <a:gd name="T7" fmla="*/ 187 h 355"/>
              <a:gd name="T8" fmla="*/ 275 w 972"/>
              <a:gd name="T9" fmla="*/ 96 h 355"/>
              <a:gd name="T10" fmla="*/ 370 w 972"/>
              <a:gd name="T11" fmla="*/ 52 h 355"/>
              <a:gd name="T12" fmla="*/ 525 w 972"/>
              <a:gd name="T13" fmla="*/ 10 h 355"/>
              <a:gd name="T14" fmla="*/ 685 w 972"/>
              <a:gd name="T15" fmla="*/ 0 h 355"/>
              <a:gd name="T16" fmla="*/ 740 w 972"/>
              <a:gd name="T17" fmla="*/ 3 h 355"/>
              <a:gd name="T18" fmla="*/ 799 w 972"/>
              <a:gd name="T19" fmla="*/ 32 h 355"/>
              <a:gd name="T20" fmla="*/ 833 w 972"/>
              <a:gd name="T21" fmla="*/ 55 h 355"/>
              <a:gd name="T22" fmla="*/ 870 w 972"/>
              <a:gd name="T23" fmla="*/ 86 h 355"/>
              <a:gd name="T24" fmla="*/ 919 w 972"/>
              <a:gd name="T25" fmla="*/ 139 h 355"/>
              <a:gd name="T26" fmla="*/ 951 w 972"/>
              <a:gd name="T27" fmla="*/ 190 h 355"/>
              <a:gd name="T28" fmla="*/ 954 w 972"/>
              <a:gd name="T29" fmla="*/ 225 h 355"/>
              <a:gd name="T30" fmla="*/ 904 w 972"/>
              <a:gd name="T31" fmla="*/ 197 h 355"/>
              <a:gd name="T32" fmla="*/ 798 w 972"/>
              <a:gd name="T33" fmla="*/ 153 h 355"/>
              <a:gd name="T34" fmla="*/ 703 w 972"/>
              <a:gd name="T35" fmla="*/ 124 h 355"/>
              <a:gd name="T36" fmla="*/ 569 w 972"/>
              <a:gd name="T37" fmla="*/ 102 h 355"/>
              <a:gd name="T38" fmla="*/ 480 w 972"/>
              <a:gd name="T39" fmla="*/ 102 h 355"/>
              <a:gd name="T40" fmla="*/ 389 w 972"/>
              <a:gd name="T41" fmla="*/ 113 h 355"/>
              <a:gd name="T42" fmla="*/ 296 w 972"/>
              <a:gd name="T43" fmla="*/ 139 h 355"/>
              <a:gd name="T44" fmla="*/ 234 w 972"/>
              <a:gd name="T45" fmla="*/ 166 h 355"/>
              <a:gd name="T46" fmla="*/ 128 w 972"/>
              <a:gd name="T47" fmla="*/ 234 h 355"/>
              <a:gd name="T48" fmla="*/ 143 w 972"/>
              <a:gd name="T49" fmla="*/ 205 h 355"/>
              <a:gd name="T50" fmla="*/ 204 w 972"/>
              <a:gd name="T51" fmla="*/ 166 h 355"/>
              <a:gd name="T52" fmla="*/ 259 w 972"/>
              <a:gd name="T53" fmla="*/ 139 h 355"/>
              <a:gd name="T54" fmla="*/ 354 w 972"/>
              <a:gd name="T55" fmla="*/ 106 h 355"/>
              <a:gd name="T56" fmla="*/ 448 w 972"/>
              <a:gd name="T57" fmla="*/ 91 h 355"/>
              <a:gd name="T58" fmla="*/ 539 w 972"/>
              <a:gd name="T59" fmla="*/ 87 h 355"/>
              <a:gd name="T60" fmla="*/ 655 w 972"/>
              <a:gd name="T61" fmla="*/ 101 h 355"/>
              <a:gd name="T62" fmla="*/ 747 w 972"/>
              <a:gd name="T63" fmla="*/ 123 h 355"/>
              <a:gd name="T64" fmla="*/ 851 w 972"/>
              <a:gd name="T65" fmla="*/ 160 h 355"/>
              <a:gd name="T66" fmla="*/ 942 w 972"/>
              <a:gd name="T67" fmla="*/ 202 h 355"/>
              <a:gd name="T68" fmla="*/ 920 w 972"/>
              <a:gd name="T69" fmla="*/ 165 h 355"/>
              <a:gd name="T70" fmla="*/ 878 w 972"/>
              <a:gd name="T71" fmla="*/ 113 h 355"/>
              <a:gd name="T72" fmla="*/ 861 w 972"/>
              <a:gd name="T73" fmla="*/ 94 h 355"/>
              <a:gd name="T74" fmla="*/ 809 w 972"/>
              <a:gd name="T75" fmla="*/ 54 h 355"/>
              <a:gd name="T76" fmla="*/ 762 w 972"/>
              <a:gd name="T77" fmla="*/ 27 h 355"/>
              <a:gd name="T78" fmla="*/ 683 w 972"/>
              <a:gd name="T79" fmla="*/ 13 h 355"/>
              <a:gd name="T80" fmla="*/ 527 w 972"/>
              <a:gd name="T81" fmla="*/ 23 h 355"/>
              <a:gd name="T82" fmla="*/ 375 w 972"/>
              <a:gd name="T83" fmla="*/ 64 h 355"/>
              <a:gd name="T84" fmla="*/ 278 w 972"/>
              <a:gd name="T85" fmla="*/ 111 h 355"/>
              <a:gd name="T86" fmla="*/ 143 w 972"/>
              <a:gd name="T87" fmla="*/ 205 h 3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972" h="355">
                <a:moveTo>
                  <a:pt x="100" y="257"/>
                </a:moveTo>
                <a:lnTo>
                  <a:pt x="100" y="257"/>
                </a:lnTo>
                <a:lnTo>
                  <a:pt x="74" y="282"/>
                </a:lnTo>
                <a:lnTo>
                  <a:pt x="51" y="308"/>
                </a:lnTo>
                <a:lnTo>
                  <a:pt x="31" y="331"/>
                </a:lnTo>
                <a:lnTo>
                  <a:pt x="12" y="355"/>
                </a:lnTo>
                <a:lnTo>
                  <a:pt x="0" y="348"/>
                </a:lnTo>
                <a:lnTo>
                  <a:pt x="0" y="348"/>
                </a:lnTo>
                <a:lnTo>
                  <a:pt x="34" y="303"/>
                </a:lnTo>
                <a:lnTo>
                  <a:pt x="68" y="261"/>
                </a:lnTo>
                <a:lnTo>
                  <a:pt x="105" y="222"/>
                </a:lnTo>
                <a:lnTo>
                  <a:pt x="145" y="187"/>
                </a:lnTo>
                <a:lnTo>
                  <a:pt x="187" y="153"/>
                </a:lnTo>
                <a:lnTo>
                  <a:pt x="229" y="123"/>
                </a:lnTo>
                <a:lnTo>
                  <a:pt x="275" y="96"/>
                </a:lnTo>
                <a:lnTo>
                  <a:pt x="322" y="74"/>
                </a:lnTo>
                <a:lnTo>
                  <a:pt x="322" y="74"/>
                </a:lnTo>
                <a:lnTo>
                  <a:pt x="370" y="52"/>
                </a:lnTo>
                <a:lnTo>
                  <a:pt x="421" y="35"/>
                </a:lnTo>
                <a:lnTo>
                  <a:pt x="473" y="20"/>
                </a:lnTo>
                <a:lnTo>
                  <a:pt x="525" y="10"/>
                </a:lnTo>
                <a:lnTo>
                  <a:pt x="577" y="3"/>
                </a:lnTo>
                <a:lnTo>
                  <a:pt x="631" y="0"/>
                </a:lnTo>
                <a:lnTo>
                  <a:pt x="685" y="0"/>
                </a:lnTo>
                <a:lnTo>
                  <a:pt x="737" y="3"/>
                </a:lnTo>
                <a:lnTo>
                  <a:pt x="739" y="3"/>
                </a:lnTo>
                <a:lnTo>
                  <a:pt x="740" y="3"/>
                </a:lnTo>
                <a:lnTo>
                  <a:pt x="740" y="3"/>
                </a:lnTo>
                <a:lnTo>
                  <a:pt x="767" y="15"/>
                </a:lnTo>
                <a:lnTo>
                  <a:pt x="799" y="32"/>
                </a:lnTo>
                <a:lnTo>
                  <a:pt x="799" y="32"/>
                </a:lnTo>
                <a:lnTo>
                  <a:pt x="816" y="42"/>
                </a:lnTo>
                <a:lnTo>
                  <a:pt x="833" y="55"/>
                </a:lnTo>
                <a:lnTo>
                  <a:pt x="851" y="69"/>
                </a:lnTo>
                <a:lnTo>
                  <a:pt x="870" y="86"/>
                </a:lnTo>
                <a:lnTo>
                  <a:pt x="870" y="86"/>
                </a:lnTo>
                <a:lnTo>
                  <a:pt x="888" y="102"/>
                </a:lnTo>
                <a:lnTo>
                  <a:pt x="905" y="121"/>
                </a:lnTo>
                <a:lnTo>
                  <a:pt x="919" y="139"/>
                </a:lnTo>
                <a:lnTo>
                  <a:pt x="932" y="156"/>
                </a:lnTo>
                <a:lnTo>
                  <a:pt x="932" y="156"/>
                </a:lnTo>
                <a:lnTo>
                  <a:pt x="951" y="190"/>
                </a:lnTo>
                <a:lnTo>
                  <a:pt x="964" y="217"/>
                </a:lnTo>
                <a:lnTo>
                  <a:pt x="972" y="235"/>
                </a:lnTo>
                <a:lnTo>
                  <a:pt x="954" y="225"/>
                </a:lnTo>
                <a:lnTo>
                  <a:pt x="954" y="225"/>
                </a:lnTo>
                <a:lnTo>
                  <a:pt x="927" y="210"/>
                </a:lnTo>
                <a:lnTo>
                  <a:pt x="904" y="197"/>
                </a:lnTo>
                <a:lnTo>
                  <a:pt x="873" y="183"/>
                </a:lnTo>
                <a:lnTo>
                  <a:pt x="838" y="168"/>
                </a:lnTo>
                <a:lnTo>
                  <a:pt x="798" y="153"/>
                </a:lnTo>
                <a:lnTo>
                  <a:pt x="752" y="138"/>
                </a:lnTo>
                <a:lnTo>
                  <a:pt x="703" y="124"/>
                </a:lnTo>
                <a:lnTo>
                  <a:pt x="703" y="124"/>
                </a:lnTo>
                <a:lnTo>
                  <a:pt x="651" y="114"/>
                </a:lnTo>
                <a:lnTo>
                  <a:pt x="597" y="106"/>
                </a:lnTo>
                <a:lnTo>
                  <a:pt x="569" y="102"/>
                </a:lnTo>
                <a:lnTo>
                  <a:pt x="539" y="101"/>
                </a:lnTo>
                <a:lnTo>
                  <a:pt x="510" y="101"/>
                </a:lnTo>
                <a:lnTo>
                  <a:pt x="480" y="102"/>
                </a:lnTo>
                <a:lnTo>
                  <a:pt x="449" y="104"/>
                </a:lnTo>
                <a:lnTo>
                  <a:pt x="419" y="108"/>
                </a:lnTo>
                <a:lnTo>
                  <a:pt x="389" y="113"/>
                </a:lnTo>
                <a:lnTo>
                  <a:pt x="357" y="119"/>
                </a:lnTo>
                <a:lnTo>
                  <a:pt x="327" y="128"/>
                </a:lnTo>
                <a:lnTo>
                  <a:pt x="296" y="139"/>
                </a:lnTo>
                <a:lnTo>
                  <a:pt x="264" y="151"/>
                </a:lnTo>
                <a:lnTo>
                  <a:pt x="234" y="166"/>
                </a:lnTo>
                <a:lnTo>
                  <a:pt x="234" y="166"/>
                </a:lnTo>
                <a:lnTo>
                  <a:pt x="195" y="187"/>
                </a:lnTo>
                <a:lnTo>
                  <a:pt x="160" y="208"/>
                </a:lnTo>
                <a:lnTo>
                  <a:pt x="128" y="234"/>
                </a:lnTo>
                <a:lnTo>
                  <a:pt x="100" y="257"/>
                </a:lnTo>
                <a:lnTo>
                  <a:pt x="100" y="257"/>
                </a:lnTo>
                <a:close/>
                <a:moveTo>
                  <a:pt x="143" y="205"/>
                </a:moveTo>
                <a:lnTo>
                  <a:pt x="143" y="205"/>
                </a:lnTo>
                <a:lnTo>
                  <a:pt x="184" y="178"/>
                </a:lnTo>
                <a:lnTo>
                  <a:pt x="204" y="166"/>
                </a:lnTo>
                <a:lnTo>
                  <a:pt x="227" y="153"/>
                </a:lnTo>
                <a:lnTo>
                  <a:pt x="227" y="153"/>
                </a:lnTo>
                <a:lnTo>
                  <a:pt x="259" y="139"/>
                </a:lnTo>
                <a:lnTo>
                  <a:pt x="291" y="126"/>
                </a:lnTo>
                <a:lnTo>
                  <a:pt x="322" y="116"/>
                </a:lnTo>
                <a:lnTo>
                  <a:pt x="354" y="106"/>
                </a:lnTo>
                <a:lnTo>
                  <a:pt x="386" y="99"/>
                </a:lnTo>
                <a:lnTo>
                  <a:pt x="417" y="94"/>
                </a:lnTo>
                <a:lnTo>
                  <a:pt x="448" y="91"/>
                </a:lnTo>
                <a:lnTo>
                  <a:pt x="478" y="89"/>
                </a:lnTo>
                <a:lnTo>
                  <a:pt x="510" y="87"/>
                </a:lnTo>
                <a:lnTo>
                  <a:pt x="539" y="87"/>
                </a:lnTo>
                <a:lnTo>
                  <a:pt x="569" y="89"/>
                </a:lnTo>
                <a:lnTo>
                  <a:pt x="597" y="92"/>
                </a:lnTo>
                <a:lnTo>
                  <a:pt x="655" y="101"/>
                </a:lnTo>
                <a:lnTo>
                  <a:pt x="707" y="113"/>
                </a:lnTo>
                <a:lnTo>
                  <a:pt x="707" y="113"/>
                </a:lnTo>
                <a:lnTo>
                  <a:pt x="747" y="123"/>
                </a:lnTo>
                <a:lnTo>
                  <a:pt x="786" y="134"/>
                </a:lnTo>
                <a:lnTo>
                  <a:pt x="819" y="146"/>
                </a:lnTo>
                <a:lnTo>
                  <a:pt x="851" y="160"/>
                </a:lnTo>
                <a:lnTo>
                  <a:pt x="905" y="183"/>
                </a:lnTo>
                <a:lnTo>
                  <a:pt x="942" y="202"/>
                </a:lnTo>
                <a:lnTo>
                  <a:pt x="942" y="202"/>
                </a:lnTo>
                <a:lnTo>
                  <a:pt x="932" y="185"/>
                </a:lnTo>
                <a:lnTo>
                  <a:pt x="920" y="165"/>
                </a:lnTo>
                <a:lnTo>
                  <a:pt x="920" y="165"/>
                </a:lnTo>
                <a:lnTo>
                  <a:pt x="909" y="148"/>
                </a:lnTo>
                <a:lnTo>
                  <a:pt x="895" y="129"/>
                </a:lnTo>
                <a:lnTo>
                  <a:pt x="878" y="113"/>
                </a:lnTo>
                <a:lnTo>
                  <a:pt x="861" y="96"/>
                </a:lnTo>
                <a:lnTo>
                  <a:pt x="861" y="94"/>
                </a:lnTo>
                <a:lnTo>
                  <a:pt x="861" y="94"/>
                </a:lnTo>
                <a:lnTo>
                  <a:pt x="843" y="79"/>
                </a:lnTo>
                <a:lnTo>
                  <a:pt x="826" y="65"/>
                </a:lnTo>
                <a:lnTo>
                  <a:pt x="809" y="54"/>
                </a:lnTo>
                <a:lnTo>
                  <a:pt x="793" y="44"/>
                </a:lnTo>
                <a:lnTo>
                  <a:pt x="793" y="44"/>
                </a:lnTo>
                <a:lnTo>
                  <a:pt x="762" y="27"/>
                </a:lnTo>
                <a:lnTo>
                  <a:pt x="735" y="17"/>
                </a:lnTo>
                <a:lnTo>
                  <a:pt x="735" y="17"/>
                </a:lnTo>
                <a:lnTo>
                  <a:pt x="683" y="13"/>
                </a:lnTo>
                <a:lnTo>
                  <a:pt x="631" y="13"/>
                </a:lnTo>
                <a:lnTo>
                  <a:pt x="579" y="17"/>
                </a:lnTo>
                <a:lnTo>
                  <a:pt x="527" y="23"/>
                </a:lnTo>
                <a:lnTo>
                  <a:pt x="476" y="34"/>
                </a:lnTo>
                <a:lnTo>
                  <a:pt x="424" y="47"/>
                </a:lnTo>
                <a:lnTo>
                  <a:pt x="375" y="64"/>
                </a:lnTo>
                <a:lnTo>
                  <a:pt x="327" y="86"/>
                </a:lnTo>
                <a:lnTo>
                  <a:pt x="327" y="86"/>
                </a:lnTo>
                <a:lnTo>
                  <a:pt x="278" y="111"/>
                </a:lnTo>
                <a:lnTo>
                  <a:pt x="231" y="138"/>
                </a:lnTo>
                <a:lnTo>
                  <a:pt x="185" y="170"/>
                </a:lnTo>
                <a:lnTo>
                  <a:pt x="143" y="205"/>
                </a:lnTo>
                <a:lnTo>
                  <a:pt x="143" y="205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06" name="Freeform 483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>
            <a:spLocks noEditPoints="1"/>
          </xdr:cNvSpPr>
        </xdr:nvSpPr>
        <xdr:spPr bwMode="auto">
          <a:xfrm>
            <a:off x="9507538" y="11960225"/>
            <a:ext cx="766763" cy="750888"/>
          </a:xfrm>
          <a:custGeom>
            <a:avLst/>
            <a:gdLst>
              <a:gd name="T0" fmla="*/ 22 w 966"/>
              <a:gd name="T1" fmla="*/ 541 h 947"/>
              <a:gd name="T2" fmla="*/ 68 w 966"/>
              <a:gd name="T3" fmla="*/ 557 h 947"/>
              <a:gd name="T4" fmla="*/ 127 w 966"/>
              <a:gd name="T5" fmla="*/ 580 h 947"/>
              <a:gd name="T6" fmla="*/ 162 w 966"/>
              <a:gd name="T7" fmla="*/ 600 h 947"/>
              <a:gd name="T8" fmla="*/ 219 w 966"/>
              <a:gd name="T9" fmla="*/ 637 h 947"/>
              <a:gd name="T10" fmla="*/ 259 w 966"/>
              <a:gd name="T11" fmla="*/ 669 h 947"/>
              <a:gd name="T12" fmla="*/ 278 w 966"/>
              <a:gd name="T13" fmla="*/ 688 h 947"/>
              <a:gd name="T14" fmla="*/ 310 w 966"/>
              <a:gd name="T15" fmla="*/ 721 h 947"/>
              <a:gd name="T16" fmla="*/ 362 w 966"/>
              <a:gd name="T17" fmla="*/ 790 h 947"/>
              <a:gd name="T18" fmla="*/ 381 w 966"/>
              <a:gd name="T19" fmla="*/ 824 h 947"/>
              <a:gd name="T20" fmla="*/ 404 w 966"/>
              <a:gd name="T21" fmla="*/ 873 h 947"/>
              <a:gd name="T22" fmla="*/ 419 w 966"/>
              <a:gd name="T23" fmla="*/ 915 h 947"/>
              <a:gd name="T24" fmla="*/ 562 w 966"/>
              <a:gd name="T25" fmla="*/ 678 h 947"/>
              <a:gd name="T26" fmla="*/ 708 w 966"/>
              <a:gd name="T27" fmla="*/ 427 h 947"/>
              <a:gd name="T28" fmla="*/ 830 w 966"/>
              <a:gd name="T29" fmla="*/ 215 h 947"/>
              <a:gd name="T30" fmla="*/ 941 w 966"/>
              <a:gd name="T31" fmla="*/ 15 h 947"/>
              <a:gd name="T32" fmla="*/ 888 w 966"/>
              <a:gd name="T33" fmla="*/ 20 h 947"/>
              <a:gd name="T34" fmla="*/ 789 w 966"/>
              <a:gd name="T35" fmla="*/ 35 h 947"/>
              <a:gd name="T36" fmla="*/ 714 w 966"/>
              <a:gd name="T37" fmla="*/ 52 h 947"/>
              <a:gd name="T38" fmla="*/ 673 w 966"/>
              <a:gd name="T39" fmla="*/ 64 h 947"/>
              <a:gd name="T40" fmla="*/ 581 w 966"/>
              <a:gd name="T41" fmla="*/ 94 h 947"/>
              <a:gd name="T42" fmla="*/ 485 w 966"/>
              <a:gd name="T43" fmla="*/ 136 h 947"/>
              <a:gd name="T44" fmla="*/ 387 w 966"/>
              <a:gd name="T45" fmla="*/ 188 h 947"/>
              <a:gd name="T46" fmla="*/ 288 w 966"/>
              <a:gd name="T47" fmla="*/ 255 h 947"/>
              <a:gd name="T48" fmla="*/ 243 w 966"/>
              <a:gd name="T49" fmla="*/ 294 h 947"/>
              <a:gd name="T50" fmla="*/ 160 w 966"/>
              <a:gd name="T51" fmla="*/ 370 h 947"/>
              <a:gd name="T52" fmla="*/ 125 w 966"/>
              <a:gd name="T53" fmla="*/ 408 h 947"/>
              <a:gd name="T54" fmla="*/ 68 w 966"/>
              <a:gd name="T55" fmla="*/ 477 h 947"/>
              <a:gd name="T56" fmla="*/ 22 w 966"/>
              <a:gd name="T57" fmla="*/ 541 h 947"/>
              <a:gd name="T58" fmla="*/ 120 w 966"/>
              <a:gd name="T59" fmla="*/ 592 h 947"/>
              <a:gd name="T60" fmla="*/ 86 w 966"/>
              <a:gd name="T61" fmla="*/ 578 h 947"/>
              <a:gd name="T62" fmla="*/ 31 w 966"/>
              <a:gd name="T63" fmla="*/ 558 h 947"/>
              <a:gd name="T64" fmla="*/ 0 w 966"/>
              <a:gd name="T65" fmla="*/ 550 h 947"/>
              <a:gd name="T66" fmla="*/ 5 w 966"/>
              <a:gd name="T67" fmla="*/ 541 h 947"/>
              <a:gd name="T68" fmla="*/ 53 w 966"/>
              <a:gd name="T69" fmla="*/ 474 h 947"/>
              <a:gd name="T70" fmla="*/ 115 w 966"/>
              <a:gd name="T71" fmla="*/ 400 h 947"/>
              <a:gd name="T72" fmla="*/ 150 w 966"/>
              <a:gd name="T73" fmla="*/ 361 h 947"/>
              <a:gd name="T74" fmla="*/ 233 w 966"/>
              <a:gd name="T75" fmla="*/ 284 h 947"/>
              <a:gd name="T76" fmla="*/ 281 w 966"/>
              <a:gd name="T77" fmla="*/ 245 h 947"/>
              <a:gd name="T78" fmla="*/ 381 w 966"/>
              <a:gd name="T79" fmla="*/ 178 h 947"/>
              <a:gd name="T80" fmla="*/ 480 w 966"/>
              <a:gd name="T81" fmla="*/ 123 h 947"/>
              <a:gd name="T82" fmla="*/ 576 w 966"/>
              <a:gd name="T83" fmla="*/ 81 h 947"/>
              <a:gd name="T84" fmla="*/ 668 w 966"/>
              <a:gd name="T85" fmla="*/ 50 h 947"/>
              <a:gd name="T86" fmla="*/ 712 w 966"/>
              <a:gd name="T87" fmla="*/ 38 h 947"/>
              <a:gd name="T88" fmla="*/ 794 w 966"/>
              <a:gd name="T89" fmla="*/ 20 h 947"/>
              <a:gd name="T90" fmla="*/ 899 w 966"/>
              <a:gd name="T91" fmla="*/ 5 h 947"/>
              <a:gd name="T92" fmla="*/ 966 w 966"/>
              <a:gd name="T93" fmla="*/ 0 h 947"/>
              <a:gd name="T94" fmla="*/ 957 w 966"/>
              <a:gd name="T95" fmla="*/ 12 h 947"/>
              <a:gd name="T96" fmla="*/ 841 w 966"/>
              <a:gd name="T97" fmla="*/ 222 h 947"/>
              <a:gd name="T98" fmla="*/ 720 w 966"/>
              <a:gd name="T99" fmla="*/ 434 h 947"/>
              <a:gd name="T100" fmla="*/ 574 w 966"/>
              <a:gd name="T101" fmla="*/ 684 h 947"/>
              <a:gd name="T102" fmla="*/ 500 w 966"/>
              <a:gd name="T103" fmla="*/ 807 h 947"/>
              <a:gd name="T104" fmla="*/ 426 w 966"/>
              <a:gd name="T105" fmla="*/ 930 h 947"/>
              <a:gd name="T106" fmla="*/ 411 w 966"/>
              <a:gd name="T107" fmla="*/ 932 h 947"/>
              <a:gd name="T108" fmla="*/ 404 w 966"/>
              <a:gd name="T109" fmla="*/ 911 h 947"/>
              <a:gd name="T110" fmla="*/ 384 w 966"/>
              <a:gd name="T111" fmla="*/ 859 h 947"/>
              <a:gd name="T112" fmla="*/ 369 w 966"/>
              <a:gd name="T113" fmla="*/ 829 h 947"/>
              <a:gd name="T114" fmla="*/ 327 w 966"/>
              <a:gd name="T115" fmla="*/ 765 h 947"/>
              <a:gd name="T116" fmla="*/ 268 w 966"/>
              <a:gd name="T117" fmla="*/ 696 h 947"/>
              <a:gd name="T118" fmla="*/ 249 w 966"/>
              <a:gd name="T119" fmla="*/ 679 h 947"/>
              <a:gd name="T120" fmla="*/ 212 w 966"/>
              <a:gd name="T121" fmla="*/ 647 h 947"/>
              <a:gd name="T122" fmla="*/ 155 w 966"/>
              <a:gd name="T123" fmla="*/ 612 h 947"/>
              <a:gd name="T124" fmla="*/ 120 w 966"/>
              <a:gd name="T125" fmla="*/ 592 h 94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966" h="947">
                <a:moveTo>
                  <a:pt x="22" y="541"/>
                </a:moveTo>
                <a:lnTo>
                  <a:pt x="22" y="541"/>
                </a:lnTo>
                <a:lnTo>
                  <a:pt x="42" y="548"/>
                </a:lnTo>
                <a:lnTo>
                  <a:pt x="68" y="557"/>
                </a:lnTo>
                <a:lnTo>
                  <a:pt x="95" y="567"/>
                </a:lnTo>
                <a:lnTo>
                  <a:pt x="127" y="580"/>
                </a:lnTo>
                <a:lnTo>
                  <a:pt x="127" y="580"/>
                </a:lnTo>
                <a:lnTo>
                  <a:pt x="162" y="600"/>
                </a:lnTo>
                <a:lnTo>
                  <a:pt x="201" y="624"/>
                </a:lnTo>
                <a:lnTo>
                  <a:pt x="219" y="637"/>
                </a:lnTo>
                <a:lnTo>
                  <a:pt x="239" y="652"/>
                </a:lnTo>
                <a:lnTo>
                  <a:pt x="259" y="669"/>
                </a:lnTo>
                <a:lnTo>
                  <a:pt x="278" y="688"/>
                </a:lnTo>
                <a:lnTo>
                  <a:pt x="278" y="688"/>
                </a:lnTo>
                <a:lnTo>
                  <a:pt x="295" y="705"/>
                </a:lnTo>
                <a:lnTo>
                  <a:pt x="310" y="721"/>
                </a:lnTo>
                <a:lnTo>
                  <a:pt x="338" y="757"/>
                </a:lnTo>
                <a:lnTo>
                  <a:pt x="362" y="790"/>
                </a:lnTo>
                <a:lnTo>
                  <a:pt x="381" y="824"/>
                </a:lnTo>
                <a:lnTo>
                  <a:pt x="381" y="824"/>
                </a:lnTo>
                <a:lnTo>
                  <a:pt x="394" y="849"/>
                </a:lnTo>
                <a:lnTo>
                  <a:pt x="404" y="873"/>
                </a:lnTo>
                <a:lnTo>
                  <a:pt x="419" y="915"/>
                </a:lnTo>
                <a:lnTo>
                  <a:pt x="419" y="915"/>
                </a:lnTo>
                <a:lnTo>
                  <a:pt x="562" y="678"/>
                </a:lnTo>
                <a:lnTo>
                  <a:pt x="562" y="678"/>
                </a:lnTo>
                <a:lnTo>
                  <a:pt x="636" y="553"/>
                </a:lnTo>
                <a:lnTo>
                  <a:pt x="708" y="427"/>
                </a:lnTo>
                <a:lnTo>
                  <a:pt x="708" y="427"/>
                </a:lnTo>
                <a:lnTo>
                  <a:pt x="830" y="215"/>
                </a:lnTo>
                <a:lnTo>
                  <a:pt x="830" y="215"/>
                </a:lnTo>
                <a:lnTo>
                  <a:pt x="941" y="15"/>
                </a:lnTo>
                <a:lnTo>
                  <a:pt x="941" y="15"/>
                </a:lnTo>
                <a:lnTo>
                  <a:pt x="888" y="20"/>
                </a:lnTo>
                <a:lnTo>
                  <a:pt x="825" y="28"/>
                </a:lnTo>
                <a:lnTo>
                  <a:pt x="789" y="35"/>
                </a:lnTo>
                <a:lnTo>
                  <a:pt x="752" y="42"/>
                </a:lnTo>
                <a:lnTo>
                  <a:pt x="714" y="52"/>
                </a:lnTo>
                <a:lnTo>
                  <a:pt x="673" y="64"/>
                </a:lnTo>
                <a:lnTo>
                  <a:pt x="673" y="64"/>
                </a:lnTo>
                <a:lnTo>
                  <a:pt x="628" y="77"/>
                </a:lnTo>
                <a:lnTo>
                  <a:pt x="581" y="94"/>
                </a:lnTo>
                <a:lnTo>
                  <a:pt x="534" y="112"/>
                </a:lnTo>
                <a:lnTo>
                  <a:pt x="485" y="136"/>
                </a:lnTo>
                <a:lnTo>
                  <a:pt x="436" y="161"/>
                </a:lnTo>
                <a:lnTo>
                  <a:pt x="387" y="188"/>
                </a:lnTo>
                <a:lnTo>
                  <a:pt x="338" y="220"/>
                </a:lnTo>
                <a:lnTo>
                  <a:pt x="288" y="255"/>
                </a:lnTo>
                <a:lnTo>
                  <a:pt x="288" y="255"/>
                </a:lnTo>
                <a:lnTo>
                  <a:pt x="243" y="294"/>
                </a:lnTo>
                <a:lnTo>
                  <a:pt x="199" y="333"/>
                </a:lnTo>
                <a:lnTo>
                  <a:pt x="160" y="370"/>
                </a:lnTo>
                <a:lnTo>
                  <a:pt x="125" y="408"/>
                </a:lnTo>
                <a:lnTo>
                  <a:pt x="125" y="408"/>
                </a:lnTo>
                <a:lnTo>
                  <a:pt x="95" y="444"/>
                </a:lnTo>
                <a:lnTo>
                  <a:pt x="68" y="477"/>
                </a:lnTo>
                <a:lnTo>
                  <a:pt x="42" y="511"/>
                </a:lnTo>
                <a:lnTo>
                  <a:pt x="22" y="541"/>
                </a:lnTo>
                <a:lnTo>
                  <a:pt x="22" y="541"/>
                </a:lnTo>
                <a:close/>
                <a:moveTo>
                  <a:pt x="120" y="592"/>
                </a:moveTo>
                <a:lnTo>
                  <a:pt x="120" y="592"/>
                </a:lnTo>
                <a:lnTo>
                  <a:pt x="86" y="578"/>
                </a:lnTo>
                <a:lnTo>
                  <a:pt x="56" y="567"/>
                </a:lnTo>
                <a:lnTo>
                  <a:pt x="31" y="558"/>
                </a:lnTo>
                <a:lnTo>
                  <a:pt x="9" y="553"/>
                </a:lnTo>
                <a:lnTo>
                  <a:pt x="0" y="550"/>
                </a:lnTo>
                <a:lnTo>
                  <a:pt x="5" y="541"/>
                </a:lnTo>
                <a:lnTo>
                  <a:pt x="5" y="541"/>
                </a:lnTo>
                <a:lnTo>
                  <a:pt x="27" y="509"/>
                </a:lnTo>
                <a:lnTo>
                  <a:pt x="53" y="474"/>
                </a:lnTo>
                <a:lnTo>
                  <a:pt x="83" y="437"/>
                </a:lnTo>
                <a:lnTo>
                  <a:pt x="115" y="400"/>
                </a:lnTo>
                <a:lnTo>
                  <a:pt x="115" y="400"/>
                </a:lnTo>
                <a:lnTo>
                  <a:pt x="150" y="361"/>
                </a:lnTo>
                <a:lnTo>
                  <a:pt x="190" y="323"/>
                </a:lnTo>
                <a:lnTo>
                  <a:pt x="233" y="284"/>
                </a:lnTo>
                <a:lnTo>
                  <a:pt x="281" y="245"/>
                </a:lnTo>
                <a:lnTo>
                  <a:pt x="281" y="245"/>
                </a:lnTo>
                <a:lnTo>
                  <a:pt x="330" y="210"/>
                </a:lnTo>
                <a:lnTo>
                  <a:pt x="381" y="178"/>
                </a:lnTo>
                <a:lnTo>
                  <a:pt x="431" y="148"/>
                </a:lnTo>
                <a:lnTo>
                  <a:pt x="480" y="123"/>
                </a:lnTo>
                <a:lnTo>
                  <a:pt x="529" y="101"/>
                </a:lnTo>
                <a:lnTo>
                  <a:pt x="576" y="81"/>
                </a:lnTo>
                <a:lnTo>
                  <a:pt x="623" y="64"/>
                </a:lnTo>
                <a:lnTo>
                  <a:pt x="668" y="50"/>
                </a:lnTo>
                <a:lnTo>
                  <a:pt x="668" y="50"/>
                </a:lnTo>
                <a:lnTo>
                  <a:pt x="712" y="38"/>
                </a:lnTo>
                <a:lnTo>
                  <a:pt x="754" y="28"/>
                </a:lnTo>
                <a:lnTo>
                  <a:pt x="794" y="20"/>
                </a:lnTo>
                <a:lnTo>
                  <a:pt x="831" y="13"/>
                </a:lnTo>
                <a:lnTo>
                  <a:pt x="899" y="5"/>
                </a:lnTo>
                <a:lnTo>
                  <a:pt x="952" y="0"/>
                </a:lnTo>
                <a:lnTo>
                  <a:pt x="966" y="0"/>
                </a:lnTo>
                <a:lnTo>
                  <a:pt x="957" y="12"/>
                </a:lnTo>
                <a:lnTo>
                  <a:pt x="957" y="12"/>
                </a:lnTo>
                <a:lnTo>
                  <a:pt x="841" y="222"/>
                </a:lnTo>
                <a:lnTo>
                  <a:pt x="841" y="222"/>
                </a:lnTo>
                <a:lnTo>
                  <a:pt x="720" y="434"/>
                </a:lnTo>
                <a:lnTo>
                  <a:pt x="720" y="434"/>
                </a:lnTo>
                <a:lnTo>
                  <a:pt x="646" y="560"/>
                </a:lnTo>
                <a:lnTo>
                  <a:pt x="574" y="684"/>
                </a:lnTo>
                <a:lnTo>
                  <a:pt x="574" y="684"/>
                </a:lnTo>
                <a:lnTo>
                  <a:pt x="500" y="807"/>
                </a:lnTo>
                <a:lnTo>
                  <a:pt x="428" y="928"/>
                </a:lnTo>
                <a:lnTo>
                  <a:pt x="426" y="930"/>
                </a:lnTo>
                <a:lnTo>
                  <a:pt x="416" y="947"/>
                </a:lnTo>
                <a:lnTo>
                  <a:pt x="411" y="932"/>
                </a:lnTo>
                <a:lnTo>
                  <a:pt x="411" y="932"/>
                </a:lnTo>
                <a:lnTo>
                  <a:pt x="404" y="911"/>
                </a:lnTo>
                <a:lnTo>
                  <a:pt x="396" y="888"/>
                </a:lnTo>
                <a:lnTo>
                  <a:pt x="384" y="859"/>
                </a:lnTo>
                <a:lnTo>
                  <a:pt x="369" y="829"/>
                </a:lnTo>
                <a:lnTo>
                  <a:pt x="369" y="829"/>
                </a:lnTo>
                <a:lnTo>
                  <a:pt x="350" y="797"/>
                </a:lnTo>
                <a:lnTo>
                  <a:pt x="327" y="765"/>
                </a:lnTo>
                <a:lnTo>
                  <a:pt x="300" y="730"/>
                </a:lnTo>
                <a:lnTo>
                  <a:pt x="268" y="696"/>
                </a:lnTo>
                <a:lnTo>
                  <a:pt x="268" y="696"/>
                </a:lnTo>
                <a:lnTo>
                  <a:pt x="249" y="679"/>
                </a:lnTo>
                <a:lnTo>
                  <a:pt x="231" y="662"/>
                </a:lnTo>
                <a:lnTo>
                  <a:pt x="212" y="647"/>
                </a:lnTo>
                <a:lnTo>
                  <a:pt x="192" y="634"/>
                </a:lnTo>
                <a:lnTo>
                  <a:pt x="155" y="612"/>
                </a:lnTo>
                <a:lnTo>
                  <a:pt x="120" y="592"/>
                </a:lnTo>
                <a:lnTo>
                  <a:pt x="120" y="592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07" name="Freeform 484">
            <a:extLst>
              <a:ext uri="{FF2B5EF4-FFF2-40B4-BE49-F238E27FC236}">
                <a16:creationId xmlns:a16="http://schemas.microsoft.com/office/drawing/2014/main" id="{00000000-0008-0000-0400-00006B000000}"/>
              </a:ext>
            </a:extLst>
          </xdr:cNvPr>
          <xdr:cNvSpPr>
            <a:spLocks/>
          </xdr:cNvSpPr>
        </xdr:nvSpPr>
        <xdr:spPr bwMode="auto">
          <a:xfrm>
            <a:off x="9655175" y="12182475"/>
            <a:ext cx="165100" cy="176213"/>
          </a:xfrm>
          <a:custGeom>
            <a:avLst/>
            <a:gdLst>
              <a:gd name="T0" fmla="*/ 209 w 209"/>
              <a:gd name="T1" fmla="*/ 10 h 222"/>
              <a:gd name="T2" fmla="*/ 209 w 209"/>
              <a:gd name="T3" fmla="*/ 10 h 222"/>
              <a:gd name="T4" fmla="*/ 175 w 209"/>
              <a:gd name="T5" fmla="*/ 37 h 222"/>
              <a:gd name="T6" fmla="*/ 143 w 209"/>
              <a:gd name="T7" fmla="*/ 65 h 222"/>
              <a:gd name="T8" fmla="*/ 116 w 209"/>
              <a:gd name="T9" fmla="*/ 92 h 222"/>
              <a:gd name="T10" fmla="*/ 90 w 209"/>
              <a:gd name="T11" fmla="*/ 119 h 222"/>
              <a:gd name="T12" fmla="*/ 90 w 209"/>
              <a:gd name="T13" fmla="*/ 119 h 222"/>
              <a:gd name="T14" fmla="*/ 68 w 209"/>
              <a:gd name="T15" fmla="*/ 148 h 222"/>
              <a:gd name="T16" fmla="*/ 46 w 209"/>
              <a:gd name="T17" fmla="*/ 173 h 222"/>
              <a:gd name="T18" fmla="*/ 27 w 209"/>
              <a:gd name="T19" fmla="*/ 198 h 222"/>
              <a:gd name="T20" fmla="*/ 12 w 209"/>
              <a:gd name="T21" fmla="*/ 222 h 222"/>
              <a:gd name="T22" fmla="*/ 0 w 209"/>
              <a:gd name="T23" fmla="*/ 215 h 222"/>
              <a:gd name="T24" fmla="*/ 0 w 209"/>
              <a:gd name="T25" fmla="*/ 215 h 222"/>
              <a:gd name="T26" fmla="*/ 17 w 209"/>
              <a:gd name="T27" fmla="*/ 190 h 222"/>
              <a:gd name="T28" fmla="*/ 36 w 209"/>
              <a:gd name="T29" fmla="*/ 164 h 222"/>
              <a:gd name="T30" fmla="*/ 56 w 209"/>
              <a:gd name="T31" fmla="*/ 138 h 222"/>
              <a:gd name="T32" fmla="*/ 79 w 209"/>
              <a:gd name="T33" fmla="*/ 111 h 222"/>
              <a:gd name="T34" fmla="*/ 79 w 209"/>
              <a:gd name="T35" fmla="*/ 111 h 222"/>
              <a:gd name="T36" fmla="*/ 106 w 209"/>
              <a:gd name="T37" fmla="*/ 82 h 222"/>
              <a:gd name="T38" fmla="*/ 135 w 209"/>
              <a:gd name="T39" fmla="*/ 55 h 222"/>
              <a:gd name="T40" fmla="*/ 167 w 209"/>
              <a:gd name="T41" fmla="*/ 27 h 222"/>
              <a:gd name="T42" fmla="*/ 201 w 209"/>
              <a:gd name="T43" fmla="*/ 0 h 222"/>
              <a:gd name="T44" fmla="*/ 209 w 209"/>
              <a:gd name="T45" fmla="*/ 10 h 2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9" h="222">
                <a:moveTo>
                  <a:pt x="209" y="10"/>
                </a:moveTo>
                <a:lnTo>
                  <a:pt x="209" y="10"/>
                </a:lnTo>
                <a:lnTo>
                  <a:pt x="175" y="37"/>
                </a:lnTo>
                <a:lnTo>
                  <a:pt x="143" y="65"/>
                </a:lnTo>
                <a:lnTo>
                  <a:pt x="116" y="92"/>
                </a:lnTo>
                <a:lnTo>
                  <a:pt x="90" y="119"/>
                </a:lnTo>
                <a:lnTo>
                  <a:pt x="90" y="119"/>
                </a:lnTo>
                <a:lnTo>
                  <a:pt x="68" y="148"/>
                </a:lnTo>
                <a:lnTo>
                  <a:pt x="46" y="173"/>
                </a:lnTo>
                <a:lnTo>
                  <a:pt x="27" y="198"/>
                </a:lnTo>
                <a:lnTo>
                  <a:pt x="12" y="222"/>
                </a:lnTo>
                <a:lnTo>
                  <a:pt x="0" y="215"/>
                </a:lnTo>
                <a:lnTo>
                  <a:pt x="0" y="215"/>
                </a:lnTo>
                <a:lnTo>
                  <a:pt x="17" y="190"/>
                </a:lnTo>
                <a:lnTo>
                  <a:pt x="36" y="164"/>
                </a:lnTo>
                <a:lnTo>
                  <a:pt x="56" y="138"/>
                </a:lnTo>
                <a:lnTo>
                  <a:pt x="79" y="111"/>
                </a:lnTo>
                <a:lnTo>
                  <a:pt x="79" y="111"/>
                </a:lnTo>
                <a:lnTo>
                  <a:pt x="106" y="82"/>
                </a:lnTo>
                <a:lnTo>
                  <a:pt x="135" y="55"/>
                </a:lnTo>
                <a:lnTo>
                  <a:pt x="167" y="27"/>
                </a:lnTo>
                <a:lnTo>
                  <a:pt x="201" y="0"/>
                </a:lnTo>
                <a:lnTo>
                  <a:pt x="209" y="10"/>
                </a:lnTo>
                <a:close/>
              </a:path>
            </a:pathLst>
          </a:custGeom>
          <a:solidFill>
            <a:srgbClr val="99003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08" name="Freeform 485">
            <a:extLst>
              <a:ext uri="{FF2B5EF4-FFF2-40B4-BE49-F238E27FC236}">
                <a16:creationId xmlns:a16="http://schemas.microsoft.com/office/drawing/2014/main" id="{00000000-0008-0000-0400-00006C000000}"/>
              </a:ext>
            </a:extLst>
          </xdr:cNvPr>
          <xdr:cNvSpPr>
            <a:spLocks noEditPoints="1"/>
          </xdr:cNvSpPr>
        </xdr:nvSpPr>
        <xdr:spPr bwMode="auto">
          <a:xfrm>
            <a:off x="10494963" y="12030075"/>
            <a:ext cx="7938" cy="11113"/>
          </a:xfrm>
          <a:custGeom>
            <a:avLst/>
            <a:gdLst>
              <a:gd name="T0" fmla="*/ 5 w 10"/>
              <a:gd name="T1" fmla="*/ 0 h 15"/>
              <a:gd name="T2" fmla="*/ 5 w 10"/>
              <a:gd name="T3" fmla="*/ 0 h 15"/>
              <a:gd name="T4" fmla="*/ 9 w 10"/>
              <a:gd name="T5" fmla="*/ 2 h 15"/>
              <a:gd name="T6" fmla="*/ 10 w 10"/>
              <a:gd name="T7" fmla="*/ 4 h 15"/>
              <a:gd name="T8" fmla="*/ 10 w 10"/>
              <a:gd name="T9" fmla="*/ 4 h 15"/>
              <a:gd name="T10" fmla="*/ 9 w 10"/>
              <a:gd name="T11" fmla="*/ 4 h 15"/>
              <a:gd name="T12" fmla="*/ 5 w 10"/>
              <a:gd name="T13" fmla="*/ 7 h 15"/>
              <a:gd name="T14" fmla="*/ 5 w 10"/>
              <a:gd name="T15" fmla="*/ 14 h 15"/>
              <a:gd name="T16" fmla="*/ 5 w 10"/>
              <a:gd name="T17" fmla="*/ 14 h 15"/>
              <a:gd name="T18" fmla="*/ 5 w 10"/>
              <a:gd name="T19" fmla="*/ 15 h 15"/>
              <a:gd name="T20" fmla="*/ 5 w 10"/>
              <a:gd name="T21" fmla="*/ 15 h 15"/>
              <a:gd name="T22" fmla="*/ 5 w 10"/>
              <a:gd name="T23" fmla="*/ 15 h 15"/>
              <a:gd name="T24" fmla="*/ 2 w 10"/>
              <a:gd name="T25" fmla="*/ 14 h 15"/>
              <a:gd name="T26" fmla="*/ 0 w 10"/>
              <a:gd name="T27" fmla="*/ 12 h 15"/>
              <a:gd name="T28" fmla="*/ 0 w 10"/>
              <a:gd name="T29" fmla="*/ 12 h 15"/>
              <a:gd name="T30" fmla="*/ 0 w 10"/>
              <a:gd name="T31" fmla="*/ 12 h 15"/>
              <a:gd name="T32" fmla="*/ 5 w 10"/>
              <a:gd name="T33" fmla="*/ 9 h 15"/>
              <a:gd name="T34" fmla="*/ 5 w 10"/>
              <a:gd name="T35" fmla="*/ 2 h 15"/>
              <a:gd name="T36" fmla="*/ 5 w 10"/>
              <a:gd name="T37" fmla="*/ 2 h 15"/>
              <a:gd name="T38" fmla="*/ 4 w 10"/>
              <a:gd name="T39" fmla="*/ 0 h 15"/>
              <a:gd name="T40" fmla="*/ 5 w 10"/>
              <a:gd name="T41" fmla="*/ 0 h 15"/>
              <a:gd name="T42" fmla="*/ 5 w 10"/>
              <a:gd name="T43" fmla="*/ 0 h 15"/>
              <a:gd name="T44" fmla="*/ 0 w 10"/>
              <a:gd name="T45" fmla="*/ 12 h 15"/>
              <a:gd name="T46" fmla="*/ 0 w 10"/>
              <a:gd name="T47" fmla="*/ 12 h 15"/>
              <a:gd name="T48" fmla="*/ 5 w 10"/>
              <a:gd name="T49" fmla="*/ 14 h 15"/>
              <a:gd name="T50" fmla="*/ 5 w 10"/>
              <a:gd name="T51" fmla="*/ 9 h 15"/>
              <a:gd name="T52" fmla="*/ 0 w 10"/>
              <a:gd name="T53" fmla="*/ 12 h 15"/>
              <a:gd name="T54" fmla="*/ 9 w 10"/>
              <a:gd name="T55" fmla="*/ 4 h 15"/>
              <a:gd name="T56" fmla="*/ 9 w 10"/>
              <a:gd name="T57" fmla="*/ 4 h 15"/>
              <a:gd name="T58" fmla="*/ 5 w 10"/>
              <a:gd name="T59" fmla="*/ 2 h 15"/>
              <a:gd name="T60" fmla="*/ 5 w 10"/>
              <a:gd name="T61" fmla="*/ 7 h 15"/>
              <a:gd name="T62" fmla="*/ 9 w 10"/>
              <a:gd name="T63" fmla="*/ 4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10" h="15">
                <a:moveTo>
                  <a:pt x="5" y="0"/>
                </a:moveTo>
                <a:lnTo>
                  <a:pt x="5" y="0"/>
                </a:lnTo>
                <a:lnTo>
                  <a:pt x="9" y="2"/>
                </a:lnTo>
                <a:lnTo>
                  <a:pt x="10" y="4"/>
                </a:lnTo>
                <a:lnTo>
                  <a:pt x="10" y="4"/>
                </a:lnTo>
                <a:lnTo>
                  <a:pt x="9" y="4"/>
                </a:lnTo>
                <a:lnTo>
                  <a:pt x="5" y="7"/>
                </a:lnTo>
                <a:lnTo>
                  <a:pt x="5" y="14"/>
                </a:lnTo>
                <a:lnTo>
                  <a:pt x="5" y="14"/>
                </a:lnTo>
                <a:lnTo>
                  <a:pt x="5" y="15"/>
                </a:lnTo>
                <a:lnTo>
                  <a:pt x="5" y="15"/>
                </a:lnTo>
                <a:lnTo>
                  <a:pt x="5" y="15"/>
                </a:lnTo>
                <a:lnTo>
                  <a:pt x="2" y="14"/>
                </a:lnTo>
                <a:lnTo>
                  <a:pt x="0" y="12"/>
                </a:lnTo>
                <a:lnTo>
                  <a:pt x="0" y="12"/>
                </a:lnTo>
                <a:lnTo>
                  <a:pt x="0" y="12"/>
                </a:lnTo>
                <a:lnTo>
                  <a:pt x="5" y="9"/>
                </a:lnTo>
                <a:lnTo>
                  <a:pt x="5" y="2"/>
                </a:lnTo>
                <a:lnTo>
                  <a:pt x="5" y="2"/>
                </a:lnTo>
                <a:lnTo>
                  <a:pt x="4" y="0"/>
                </a:lnTo>
                <a:lnTo>
                  <a:pt x="5" y="0"/>
                </a:lnTo>
                <a:lnTo>
                  <a:pt x="5" y="0"/>
                </a:lnTo>
                <a:close/>
                <a:moveTo>
                  <a:pt x="0" y="12"/>
                </a:moveTo>
                <a:lnTo>
                  <a:pt x="0" y="12"/>
                </a:lnTo>
                <a:lnTo>
                  <a:pt x="5" y="14"/>
                </a:lnTo>
                <a:lnTo>
                  <a:pt x="5" y="9"/>
                </a:lnTo>
                <a:lnTo>
                  <a:pt x="0" y="12"/>
                </a:lnTo>
                <a:close/>
                <a:moveTo>
                  <a:pt x="9" y="4"/>
                </a:moveTo>
                <a:lnTo>
                  <a:pt x="9" y="4"/>
                </a:lnTo>
                <a:lnTo>
                  <a:pt x="5" y="2"/>
                </a:lnTo>
                <a:lnTo>
                  <a:pt x="5" y="7"/>
                </a:lnTo>
                <a:lnTo>
                  <a:pt x="9" y="4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09" name="Freeform 486">
            <a:extLst>
              <a:ext uri="{FF2B5EF4-FFF2-40B4-BE49-F238E27FC236}">
                <a16:creationId xmlns:a16="http://schemas.microsoft.com/office/drawing/2014/main" id="{00000000-0008-0000-0400-00006D000000}"/>
              </a:ext>
            </a:extLst>
          </xdr:cNvPr>
          <xdr:cNvSpPr>
            <a:spLocks noEditPoints="1"/>
          </xdr:cNvSpPr>
        </xdr:nvSpPr>
        <xdr:spPr bwMode="auto">
          <a:xfrm>
            <a:off x="10083800" y="11795125"/>
            <a:ext cx="9525" cy="9525"/>
          </a:xfrm>
          <a:custGeom>
            <a:avLst/>
            <a:gdLst>
              <a:gd name="T0" fmla="*/ 7 w 14"/>
              <a:gd name="T1" fmla="*/ 0 h 14"/>
              <a:gd name="T2" fmla="*/ 7 w 14"/>
              <a:gd name="T3" fmla="*/ 0 h 14"/>
              <a:gd name="T4" fmla="*/ 12 w 14"/>
              <a:gd name="T5" fmla="*/ 0 h 14"/>
              <a:gd name="T6" fmla="*/ 14 w 14"/>
              <a:gd name="T7" fmla="*/ 5 h 14"/>
              <a:gd name="T8" fmla="*/ 7 w 14"/>
              <a:gd name="T9" fmla="*/ 7 h 14"/>
              <a:gd name="T10" fmla="*/ 7 w 14"/>
              <a:gd name="T11" fmla="*/ 0 h 14"/>
              <a:gd name="T12" fmla="*/ 7 w 14"/>
              <a:gd name="T13" fmla="*/ 7 h 14"/>
              <a:gd name="T14" fmla="*/ 4 w 14"/>
              <a:gd name="T15" fmla="*/ 9 h 14"/>
              <a:gd name="T16" fmla="*/ 4 w 14"/>
              <a:gd name="T17" fmla="*/ 9 h 14"/>
              <a:gd name="T18" fmla="*/ 7 w 14"/>
              <a:gd name="T19" fmla="*/ 12 h 14"/>
              <a:gd name="T20" fmla="*/ 7 w 14"/>
              <a:gd name="T21" fmla="*/ 7 h 14"/>
              <a:gd name="T22" fmla="*/ 4 w 14"/>
              <a:gd name="T23" fmla="*/ 9 h 14"/>
              <a:gd name="T24" fmla="*/ 0 w 14"/>
              <a:gd name="T25" fmla="*/ 10 h 14"/>
              <a:gd name="T26" fmla="*/ 0 w 14"/>
              <a:gd name="T27" fmla="*/ 10 h 14"/>
              <a:gd name="T28" fmla="*/ 2 w 14"/>
              <a:gd name="T29" fmla="*/ 9 h 14"/>
              <a:gd name="T30" fmla="*/ 4 w 14"/>
              <a:gd name="T31" fmla="*/ 9 h 14"/>
              <a:gd name="T32" fmla="*/ 4 w 14"/>
              <a:gd name="T33" fmla="*/ 9 h 14"/>
              <a:gd name="T34" fmla="*/ 7 w 14"/>
              <a:gd name="T35" fmla="*/ 12 h 14"/>
              <a:gd name="T36" fmla="*/ 7 w 14"/>
              <a:gd name="T37" fmla="*/ 12 h 14"/>
              <a:gd name="T38" fmla="*/ 9 w 14"/>
              <a:gd name="T39" fmla="*/ 14 h 14"/>
              <a:gd name="T40" fmla="*/ 7 w 14"/>
              <a:gd name="T41" fmla="*/ 14 h 14"/>
              <a:gd name="T42" fmla="*/ 7 w 14"/>
              <a:gd name="T43" fmla="*/ 12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14" h="14">
                <a:moveTo>
                  <a:pt x="7" y="0"/>
                </a:moveTo>
                <a:lnTo>
                  <a:pt x="7" y="0"/>
                </a:lnTo>
                <a:lnTo>
                  <a:pt x="12" y="0"/>
                </a:lnTo>
                <a:lnTo>
                  <a:pt x="14" y="5"/>
                </a:lnTo>
                <a:lnTo>
                  <a:pt x="7" y="7"/>
                </a:lnTo>
                <a:lnTo>
                  <a:pt x="7" y="0"/>
                </a:lnTo>
                <a:close/>
                <a:moveTo>
                  <a:pt x="7" y="7"/>
                </a:moveTo>
                <a:lnTo>
                  <a:pt x="4" y="9"/>
                </a:lnTo>
                <a:lnTo>
                  <a:pt x="4" y="9"/>
                </a:lnTo>
                <a:lnTo>
                  <a:pt x="7" y="12"/>
                </a:lnTo>
                <a:lnTo>
                  <a:pt x="7" y="7"/>
                </a:lnTo>
                <a:close/>
                <a:moveTo>
                  <a:pt x="4" y="9"/>
                </a:moveTo>
                <a:lnTo>
                  <a:pt x="0" y="10"/>
                </a:lnTo>
                <a:lnTo>
                  <a:pt x="0" y="10"/>
                </a:lnTo>
                <a:lnTo>
                  <a:pt x="2" y="9"/>
                </a:lnTo>
                <a:lnTo>
                  <a:pt x="4" y="9"/>
                </a:lnTo>
                <a:lnTo>
                  <a:pt x="4" y="9"/>
                </a:lnTo>
                <a:close/>
                <a:moveTo>
                  <a:pt x="7" y="12"/>
                </a:moveTo>
                <a:lnTo>
                  <a:pt x="7" y="12"/>
                </a:lnTo>
                <a:lnTo>
                  <a:pt x="9" y="14"/>
                </a:lnTo>
                <a:lnTo>
                  <a:pt x="7" y="14"/>
                </a:lnTo>
                <a:lnTo>
                  <a:pt x="7" y="12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10" name="Freeform 487">
            <a:extLst>
              <a:ext uri="{FF2B5EF4-FFF2-40B4-BE49-F238E27FC236}">
                <a16:creationId xmlns:a16="http://schemas.microsoft.com/office/drawing/2014/main" id="{00000000-0008-0000-0400-00006E000000}"/>
              </a:ext>
            </a:extLst>
          </xdr:cNvPr>
          <xdr:cNvSpPr>
            <a:spLocks/>
          </xdr:cNvSpPr>
        </xdr:nvSpPr>
        <xdr:spPr bwMode="auto">
          <a:xfrm>
            <a:off x="10263188" y="11963400"/>
            <a:ext cx="12700" cy="7938"/>
          </a:xfrm>
          <a:custGeom>
            <a:avLst/>
            <a:gdLst>
              <a:gd name="T0" fmla="*/ 14 w 15"/>
              <a:gd name="T1" fmla="*/ 0 h 10"/>
              <a:gd name="T2" fmla="*/ 15 w 15"/>
              <a:gd name="T3" fmla="*/ 2 h 10"/>
              <a:gd name="T4" fmla="*/ 15 w 15"/>
              <a:gd name="T5" fmla="*/ 2 h 10"/>
              <a:gd name="T6" fmla="*/ 15 w 15"/>
              <a:gd name="T7" fmla="*/ 3 h 10"/>
              <a:gd name="T8" fmla="*/ 4 w 15"/>
              <a:gd name="T9" fmla="*/ 10 h 10"/>
              <a:gd name="T10" fmla="*/ 4 w 15"/>
              <a:gd name="T11" fmla="*/ 10 h 10"/>
              <a:gd name="T12" fmla="*/ 0 w 15"/>
              <a:gd name="T13" fmla="*/ 5 h 10"/>
              <a:gd name="T14" fmla="*/ 14 w 15"/>
              <a:gd name="T1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5" h="10">
                <a:moveTo>
                  <a:pt x="14" y="0"/>
                </a:moveTo>
                <a:lnTo>
                  <a:pt x="15" y="2"/>
                </a:lnTo>
                <a:lnTo>
                  <a:pt x="15" y="2"/>
                </a:lnTo>
                <a:lnTo>
                  <a:pt x="15" y="3"/>
                </a:lnTo>
                <a:lnTo>
                  <a:pt x="4" y="10"/>
                </a:lnTo>
                <a:lnTo>
                  <a:pt x="4" y="10"/>
                </a:lnTo>
                <a:lnTo>
                  <a:pt x="0" y="5"/>
                </a:lnTo>
                <a:lnTo>
                  <a:pt x="14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11" name="Rectangle 488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SpPr>
            <a:spLocks noChangeArrowheads="1"/>
          </xdr:cNvSpPr>
        </xdr:nvSpPr>
        <xdr:spPr bwMode="auto">
          <a:xfrm>
            <a:off x="9839325" y="12693650"/>
            <a:ext cx="1588" cy="9525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12" name="Freeform 489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SpPr>
            <a:spLocks/>
          </xdr:cNvSpPr>
        </xdr:nvSpPr>
        <xdr:spPr bwMode="auto">
          <a:xfrm>
            <a:off x="9837738" y="12685713"/>
            <a:ext cx="11113" cy="11113"/>
          </a:xfrm>
          <a:custGeom>
            <a:avLst/>
            <a:gdLst>
              <a:gd name="T0" fmla="*/ 0 w 15"/>
              <a:gd name="T1" fmla="*/ 6 h 13"/>
              <a:gd name="T2" fmla="*/ 3 w 15"/>
              <a:gd name="T3" fmla="*/ 0 h 13"/>
              <a:gd name="T4" fmla="*/ 15 w 15"/>
              <a:gd name="T5" fmla="*/ 6 h 13"/>
              <a:gd name="T6" fmla="*/ 12 w 15"/>
              <a:gd name="T7" fmla="*/ 13 h 13"/>
              <a:gd name="T8" fmla="*/ 0 w 15"/>
              <a:gd name="T9" fmla="*/ 6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5" h="13">
                <a:moveTo>
                  <a:pt x="0" y="6"/>
                </a:moveTo>
                <a:lnTo>
                  <a:pt x="3" y="0"/>
                </a:lnTo>
                <a:lnTo>
                  <a:pt x="15" y="6"/>
                </a:lnTo>
                <a:lnTo>
                  <a:pt x="12" y="13"/>
                </a:lnTo>
                <a:lnTo>
                  <a:pt x="0" y="6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13" name="Freeform 490">
            <a:extLst>
              <a:ext uri="{FF2B5EF4-FFF2-40B4-BE49-F238E27FC236}">
                <a16:creationId xmlns:a16="http://schemas.microsoft.com/office/drawing/2014/main" id="{00000000-0008-0000-0400-000071000000}"/>
              </a:ext>
            </a:extLst>
          </xdr:cNvPr>
          <xdr:cNvSpPr>
            <a:spLocks/>
          </xdr:cNvSpPr>
        </xdr:nvSpPr>
        <xdr:spPr bwMode="auto">
          <a:xfrm>
            <a:off x="10252075" y="11963400"/>
            <a:ext cx="15875" cy="15875"/>
          </a:xfrm>
          <a:custGeom>
            <a:avLst/>
            <a:gdLst>
              <a:gd name="T0" fmla="*/ 0 w 18"/>
              <a:gd name="T1" fmla="*/ 12 h 18"/>
              <a:gd name="T2" fmla="*/ 7 w 18"/>
              <a:gd name="T3" fmla="*/ 0 h 18"/>
              <a:gd name="T4" fmla="*/ 18 w 18"/>
              <a:gd name="T5" fmla="*/ 7 h 18"/>
              <a:gd name="T6" fmla="*/ 12 w 18"/>
              <a:gd name="T7" fmla="*/ 18 h 18"/>
              <a:gd name="T8" fmla="*/ 0 w 18"/>
              <a:gd name="T9" fmla="*/ 12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" h="18">
                <a:moveTo>
                  <a:pt x="0" y="12"/>
                </a:moveTo>
                <a:lnTo>
                  <a:pt x="7" y="0"/>
                </a:lnTo>
                <a:lnTo>
                  <a:pt x="18" y="7"/>
                </a:lnTo>
                <a:lnTo>
                  <a:pt x="12" y="18"/>
                </a:lnTo>
                <a:lnTo>
                  <a:pt x="0" y="12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14" name="Freeform 491">
            <a:extLst>
              <a:ext uri="{FF2B5EF4-FFF2-40B4-BE49-F238E27FC236}">
                <a16:creationId xmlns:a16="http://schemas.microsoft.com/office/drawing/2014/main" id="{00000000-0008-0000-0400-000072000000}"/>
              </a:ext>
            </a:extLst>
          </xdr:cNvPr>
          <xdr:cNvSpPr>
            <a:spLocks/>
          </xdr:cNvSpPr>
        </xdr:nvSpPr>
        <xdr:spPr bwMode="auto">
          <a:xfrm>
            <a:off x="10239375" y="11949113"/>
            <a:ext cx="44450" cy="33338"/>
          </a:xfrm>
          <a:custGeom>
            <a:avLst/>
            <a:gdLst>
              <a:gd name="T0" fmla="*/ 29 w 56"/>
              <a:gd name="T1" fmla="*/ 0 h 42"/>
              <a:gd name="T2" fmla="*/ 29 w 56"/>
              <a:gd name="T3" fmla="*/ 0 h 42"/>
              <a:gd name="T4" fmla="*/ 17 w 56"/>
              <a:gd name="T5" fmla="*/ 2 h 42"/>
              <a:gd name="T6" fmla="*/ 8 w 56"/>
              <a:gd name="T7" fmla="*/ 5 h 42"/>
              <a:gd name="T8" fmla="*/ 3 w 56"/>
              <a:gd name="T9" fmla="*/ 12 h 42"/>
              <a:gd name="T10" fmla="*/ 2 w 56"/>
              <a:gd name="T11" fmla="*/ 17 h 42"/>
              <a:gd name="T12" fmla="*/ 0 w 56"/>
              <a:gd name="T13" fmla="*/ 21 h 42"/>
              <a:gd name="T14" fmla="*/ 0 w 56"/>
              <a:gd name="T15" fmla="*/ 21 h 42"/>
              <a:gd name="T16" fmla="*/ 2 w 56"/>
              <a:gd name="T17" fmla="*/ 26 h 42"/>
              <a:gd name="T18" fmla="*/ 3 w 56"/>
              <a:gd name="T19" fmla="*/ 29 h 42"/>
              <a:gd name="T20" fmla="*/ 8 w 56"/>
              <a:gd name="T21" fmla="*/ 36 h 42"/>
              <a:gd name="T22" fmla="*/ 17 w 56"/>
              <a:gd name="T23" fmla="*/ 41 h 42"/>
              <a:gd name="T24" fmla="*/ 29 w 56"/>
              <a:gd name="T25" fmla="*/ 42 h 42"/>
              <a:gd name="T26" fmla="*/ 29 w 56"/>
              <a:gd name="T27" fmla="*/ 42 h 42"/>
              <a:gd name="T28" fmla="*/ 39 w 56"/>
              <a:gd name="T29" fmla="*/ 41 h 42"/>
              <a:gd name="T30" fmla="*/ 49 w 56"/>
              <a:gd name="T31" fmla="*/ 36 h 42"/>
              <a:gd name="T32" fmla="*/ 54 w 56"/>
              <a:gd name="T33" fmla="*/ 29 h 42"/>
              <a:gd name="T34" fmla="*/ 56 w 56"/>
              <a:gd name="T35" fmla="*/ 26 h 42"/>
              <a:gd name="T36" fmla="*/ 56 w 56"/>
              <a:gd name="T37" fmla="*/ 21 h 42"/>
              <a:gd name="T38" fmla="*/ 56 w 56"/>
              <a:gd name="T39" fmla="*/ 21 h 42"/>
              <a:gd name="T40" fmla="*/ 56 w 56"/>
              <a:gd name="T41" fmla="*/ 17 h 42"/>
              <a:gd name="T42" fmla="*/ 54 w 56"/>
              <a:gd name="T43" fmla="*/ 12 h 42"/>
              <a:gd name="T44" fmla="*/ 49 w 56"/>
              <a:gd name="T45" fmla="*/ 5 h 42"/>
              <a:gd name="T46" fmla="*/ 39 w 56"/>
              <a:gd name="T47" fmla="*/ 2 h 42"/>
              <a:gd name="T48" fmla="*/ 29 w 56"/>
              <a:gd name="T49" fmla="*/ 0 h 42"/>
              <a:gd name="T50" fmla="*/ 29 w 56"/>
              <a:gd name="T51" fmla="*/ 0 h 4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</a:cxnLst>
            <a:rect l="0" t="0" r="r" b="b"/>
            <a:pathLst>
              <a:path w="56" h="42">
                <a:moveTo>
                  <a:pt x="29" y="0"/>
                </a:moveTo>
                <a:lnTo>
                  <a:pt x="29" y="0"/>
                </a:lnTo>
                <a:lnTo>
                  <a:pt x="17" y="2"/>
                </a:lnTo>
                <a:lnTo>
                  <a:pt x="8" y="5"/>
                </a:lnTo>
                <a:lnTo>
                  <a:pt x="3" y="12"/>
                </a:lnTo>
                <a:lnTo>
                  <a:pt x="2" y="17"/>
                </a:lnTo>
                <a:lnTo>
                  <a:pt x="0" y="21"/>
                </a:lnTo>
                <a:lnTo>
                  <a:pt x="0" y="21"/>
                </a:lnTo>
                <a:lnTo>
                  <a:pt x="2" y="26"/>
                </a:lnTo>
                <a:lnTo>
                  <a:pt x="3" y="29"/>
                </a:lnTo>
                <a:lnTo>
                  <a:pt x="8" y="36"/>
                </a:lnTo>
                <a:lnTo>
                  <a:pt x="17" y="41"/>
                </a:lnTo>
                <a:lnTo>
                  <a:pt x="29" y="42"/>
                </a:lnTo>
                <a:lnTo>
                  <a:pt x="29" y="42"/>
                </a:lnTo>
                <a:lnTo>
                  <a:pt x="39" y="41"/>
                </a:lnTo>
                <a:lnTo>
                  <a:pt x="49" y="36"/>
                </a:lnTo>
                <a:lnTo>
                  <a:pt x="54" y="29"/>
                </a:lnTo>
                <a:lnTo>
                  <a:pt x="56" y="26"/>
                </a:lnTo>
                <a:lnTo>
                  <a:pt x="56" y="21"/>
                </a:lnTo>
                <a:lnTo>
                  <a:pt x="56" y="21"/>
                </a:lnTo>
                <a:lnTo>
                  <a:pt x="56" y="17"/>
                </a:lnTo>
                <a:lnTo>
                  <a:pt x="54" y="12"/>
                </a:lnTo>
                <a:lnTo>
                  <a:pt x="49" y="5"/>
                </a:lnTo>
                <a:lnTo>
                  <a:pt x="39" y="2"/>
                </a:lnTo>
                <a:lnTo>
                  <a:pt x="29" y="0"/>
                </a:lnTo>
                <a:lnTo>
                  <a:pt x="29" y="0"/>
                </a:lnTo>
                <a:close/>
              </a:path>
            </a:pathLst>
          </a:cu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15" name="Freeform 492">
            <a:extLst>
              <a:ext uri="{FF2B5EF4-FFF2-40B4-BE49-F238E27FC236}">
                <a16:creationId xmlns:a16="http://schemas.microsoft.com/office/drawing/2014/main" id="{00000000-0008-0000-0400-000073000000}"/>
              </a:ext>
            </a:extLst>
          </xdr:cNvPr>
          <xdr:cNvSpPr>
            <a:spLocks/>
          </xdr:cNvSpPr>
        </xdr:nvSpPr>
        <xdr:spPr bwMode="auto">
          <a:xfrm>
            <a:off x="9498013" y="12687300"/>
            <a:ext cx="350838" cy="252413"/>
          </a:xfrm>
          <a:custGeom>
            <a:avLst/>
            <a:gdLst>
              <a:gd name="T0" fmla="*/ 23 w 442"/>
              <a:gd name="T1" fmla="*/ 59 h 318"/>
              <a:gd name="T2" fmla="*/ 32 w 442"/>
              <a:gd name="T3" fmla="*/ 53 h 318"/>
              <a:gd name="T4" fmla="*/ 42 w 442"/>
              <a:gd name="T5" fmla="*/ 54 h 318"/>
              <a:gd name="T6" fmla="*/ 45 w 442"/>
              <a:gd name="T7" fmla="*/ 58 h 318"/>
              <a:gd name="T8" fmla="*/ 48 w 442"/>
              <a:gd name="T9" fmla="*/ 68 h 318"/>
              <a:gd name="T10" fmla="*/ 47 w 442"/>
              <a:gd name="T11" fmla="*/ 73 h 318"/>
              <a:gd name="T12" fmla="*/ 33 w 442"/>
              <a:gd name="T13" fmla="*/ 100 h 318"/>
              <a:gd name="T14" fmla="*/ 28 w 442"/>
              <a:gd name="T15" fmla="*/ 128 h 318"/>
              <a:gd name="T16" fmla="*/ 27 w 442"/>
              <a:gd name="T17" fmla="*/ 155 h 318"/>
              <a:gd name="T18" fmla="*/ 32 w 442"/>
              <a:gd name="T19" fmla="*/ 184 h 318"/>
              <a:gd name="T20" fmla="*/ 35 w 442"/>
              <a:gd name="T21" fmla="*/ 197 h 318"/>
              <a:gd name="T22" fmla="*/ 48 w 442"/>
              <a:gd name="T23" fmla="*/ 222 h 318"/>
              <a:gd name="T24" fmla="*/ 65 w 442"/>
              <a:gd name="T25" fmla="*/ 244 h 318"/>
              <a:gd name="T26" fmla="*/ 87 w 442"/>
              <a:gd name="T27" fmla="*/ 263 h 318"/>
              <a:gd name="T28" fmla="*/ 99 w 442"/>
              <a:gd name="T29" fmla="*/ 271 h 318"/>
              <a:gd name="T30" fmla="*/ 134 w 442"/>
              <a:gd name="T31" fmla="*/ 286 h 318"/>
              <a:gd name="T32" fmla="*/ 153 w 442"/>
              <a:gd name="T33" fmla="*/ 290 h 318"/>
              <a:gd name="T34" fmla="*/ 173 w 442"/>
              <a:gd name="T35" fmla="*/ 291 h 318"/>
              <a:gd name="T36" fmla="*/ 210 w 442"/>
              <a:gd name="T37" fmla="*/ 286 h 318"/>
              <a:gd name="T38" fmla="*/ 245 w 442"/>
              <a:gd name="T39" fmla="*/ 271 h 318"/>
              <a:gd name="T40" fmla="*/ 260 w 442"/>
              <a:gd name="T41" fmla="*/ 261 h 318"/>
              <a:gd name="T42" fmla="*/ 287 w 442"/>
              <a:gd name="T43" fmla="*/ 234 h 318"/>
              <a:gd name="T44" fmla="*/ 417 w 442"/>
              <a:gd name="T45" fmla="*/ 7 h 318"/>
              <a:gd name="T46" fmla="*/ 420 w 442"/>
              <a:gd name="T47" fmla="*/ 4 h 318"/>
              <a:gd name="T48" fmla="*/ 430 w 442"/>
              <a:gd name="T49" fmla="*/ 0 h 318"/>
              <a:gd name="T50" fmla="*/ 435 w 442"/>
              <a:gd name="T51" fmla="*/ 2 h 318"/>
              <a:gd name="T52" fmla="*/ 442 w 442"/>
              <a:gd name="T53" fmla="*/ 11 h 318"/>
              <a:gd name="T54" fmla="*/ 440 w 442"/>
              <a:gd name="T55" fmla="*/ 21 h 318"/>
              <a:gd name="T56" fmla="*/ 323 w 442"/>
              <a:gd name="T57" fmla="*/ 233 h 318"/>
              <a:gd name="T58" fmla="*/ 294 w 442"/>
              <a:gd name="T59" fmla="*/ 268 h 318"/>
              <a:gd name="T60" fmla="*/ 259 w 442"/>
              <a:gd name="T61" fmla="*/ 295 h 318"/>
              <a:gd name="T62" fmla="*/ 238 w 442"/>
              <a:gd name="T63" fmla="*/ 305 h 318"/>
              <a:gd name="T64" fmla="*/ 195 w 442"/>
              <a:gd name="T65" fmla="*/ 317 h 318"/>
              <a:gd name="T66" fmla="*/ 173 w 442"/>
              <a:gd name="T67" fmla="*/ 318 h 318"/>
              <a:gd name="T68" fmla="*/ 127 w 442"/>
              <a:gd name="T69" fmla="*/ 312 h 318"/>
              <a:gd name="T70" fmla="*/ 106 w 442"/>
              <a:gd name="T71" fmla="*/ 305 h 318"/>
              <a:gd name="T72" fmla="*/ 85 w 442"/>
              <a:gd name="T73" fmla="*/ 295 h 318"/>
              <a:gd name="T74" fmla="*/ 57 w 442"/>
              <a:gd name="T75" fmla="*/ 275 h 318"/>
              <a:gd name="T76" fmla="*/ 35 w 442"/>
              <a:gd name="T77" fmla="*/ 249 h 318"/>
              <a:gd name="T78" fmla="*/ 16 w 442"/>
              <a:gd name="T79" fmla="*/ 221 h 318"/>
              <a:gd name="T80" fmla="*/ 5 w 442"/>
              <a:gd name="T81" fmla="*/ 190 h 318"/>
              <a:gd name="T82" fmla="*/ 1 w 442"/>
              <a:gd name="T83" fmla="*/ 174 h 318"/>
              <a:gd name="T84" fmla="*/ 0 w 442"/>
              <a:gd name="T85" fmla="*/ 142 h 318"/>
              <a:gd name="T86" fmla="*/ 3 w 442"/>
              <a:gd name="T87" fmla="*/ 108 h 318"/>
              <a:gd name="T88" fmla="*/ 15 w 442"/>
              <a:gd name="T89" fmla="*/ 74 h 318"/>
              <a:gd name="T90" fmla="*/ 23 w 442"/>
              <a:gd name="T91" fmla="*/ 59 h 3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442" h="318">
                <a:moveTo>
                  <a:pt x="23" y="59"/>
                </a:moveTo>
                <a:lnTo>
                  <a:pt x="23" y="59"/>
                </a:lnTo>
                <a:lnTo>
                  <a:pt x="27" y="56"/>
                </a:lnTo>
                <a:lnTo>
                  <a:pt x="32" y="53"/>
                </a:lnTo>
                <a:lnTo>
                  <a:pt x="37" y="53"/>
                </a:lnTo>
                <a:lnTo>
                  <a:pt x="42" y="54"/>
                </a:lnTo>
                <a:lnTo>
                  <a:pt x="42" y="54"/>
                </a:lnTo>
                <a:lnTo>
                  <a:pt x="45" y="58"/>
                </a:lnTo>
                <a:lnTo>
                  <a:pt x="47" y="63"/>
                </a:lnTo>
                <a:lnTo>
                  <a:pt x="48" y="68"/>
                </a:lnTo>
                <a:lnTo>
                  <a:pt x="47" y="73"/>
                </a:lnTo>
                <a:lnTo>
                  <a:pt x="47" y="73"/>
                </a:lnTo>
                <a:lnTo>
                  <a:pt x="38" y="86"/>
                </a:lnTo>
                <a:lnTo>
                  <a:pt x="33" y="100"/>
                </a:lnTo>
                <a:lnTo>
                  <a:pt x="30" y="113"/>
                </a:lnTo>
                <a:lnTo>
                  <a:pt x="28" y="128"/>
                </a:lnTo>
                <a:lnTo>
                  <a:pt x="27" y="142"/>
                </a:lnTo>
                <a:lnTo>
                  <a:pt x="27" y="155"/>
                </a:lnTo>
                <a:lnTo>
                  <a:pt x="28" y="170"/>
                </a:lnTo>
                <a:lnTo>
                  <a:pt x="32" y="184"/>
                </a:lnTo>
                <a:lnTo>
                  <a:pt x="32" y="184"/>
                </a:lnTo>
                <a:lnTo>
                  <a:pt x="35" y="197"/>
                </a:lnTo>
                <a:lnTo>
                  <a:pt x="42" y="209"/>
                </a:lnTo>
                <a:lnTo>
                  <a:pt x="48" y="222"/>
                </a:lnTo>
                <a:lnTo>
                  <a:pt x="55" y="234"/>
                </a:lnTo>
                <a:lnTo>
                  <a:pt x="65" y="244"/>
                </a:lnTo>
                <a:lnTo>
                  <a:pt x="75" y="254"/>
                </a:lnTo>
                <a:lnTo>
                  <a:pt x="87" y="263"/>
                </a:lnTo>
                <a:lnTo>
                  <a:pt x="99" y="271"/>
                </a:lnTo>
                <a:lnTo>
                  <a:pt x="99" y="271"/>
                </a:lnTo>
                <a:lnTo>
                  <a:pt x="117" y="280"/>
                </a:lnTo>
                <a:lnTo>
                  <a:pt x="134" y="286"/>
                </a:lnTo>
                <a:lnTo>
                  <a:pt x="134" y="286"/>
                </a:lnTo>
                <a:lnTo>
                  <a:pt x="153" y="290"/>
                </a:lnTo>
                <a:lnTo>
                  <a:pt x="173" y="291"/>
                </a:lnTo>
                <a:lnTo>
                  <a:pt x="173" y="291"/>
                </a:lnTo>
                <a:lnTo>
                  <a:pt x="191" y="290"/>
                </a:lnTo>
                <a:lnTo>
                  <a:pt x="210" y="286"/>
                </a:lnTo>
                <a:lnTo>
                  <a:pt x="228" y="280"/>
                </a:lnTo>
                <a:lnTo>
                  <a:pt x="245" y="271"/>
                </a:lnTo>
                <a:lnTo>
                  <a:pt x="245" y="271"/>
                </a:lnTo>
                <a:lnTo>
                  <a:pt x="260" y="261"/>
                </a:lnTo>
                <a:lnTo>
                  <a:pt x="275" y="249"/>
                </a:lnTo>
                <a:lnTo>
                  <a:pt x="287" y="234"/>
                </a:lnTo>
                <a:lnTo>
                  <a:pt x="299" y="219"/>
                </a:lnTo>
                <a:lnTo>
                  <a:pt x="417" y="7"/>
                </a:lnTo>
                <a:lnTo>
                  <a:pt x="417" y="7"/>
                </a:lnTo>
                <a:lnTo>
                  <a:pt x="420" y="4"/>
                </a:lnTo>
                <a:lnTo>
                  <a:pt x="425" y="2"/>
                </a:lnTo>
                <a:lnTo>
                  <a:pt x="430" y="0"/>
                </a:lnTo>
                <a:lnTo>
                  <a:pt x="435" y="2"/>
                </a:lnTo>
                <a:lnTo>
                  <a:pt x="435" y="2"/>
                </a:lnTo>
                <a:lnTo>
                  <a:pt x="440" y="5"/>
                </a:lnTo>
                <a:lnTo>
                  <a:pt x="442" y="11"/>
                </a:lnTo>
                <a:lnTo>
                  <a:pt x="442" y="16"/>
                </a:lnTo>
                <a:lnTo>
                  <a:pt x="440" y="21"/>
                </a:lnTo>
                <a:lnTo>
                  <a:pt x="323" y="233"/>
                </a:lnTo>
                <a:lnTo>
                  <a:pt x="323" y="233"/>
                </a:lnTo>
                <a:lnTo>
                  <a:pt x="309" y="251"/>
                </a:lnTo>
                <a:lnTo>
                  <a:pt x="294" y="268"/>
                </a:lnTo>
                <a:lnTo>
                  <a:pt x="277" y="283"/>
                </a:lnTo>
                <a:lnTo>
                  <a:pt x="259" y="295"/>
                </a:lnTo>
                <a:lnTo>
                  <a:pt x="259" y="295"/>
                </a:lnTo>
                <a:lnTo>
                  <a:pt x="238" y="305"/>
                </a:lnTo>
                <a:lnTo>
                  <a:pt x="217" y="312"/>
                </a:lnTo>
                <a:lnTo>
                  <a:pt x="195" y="317"/>
                </a:lnTo>
                <a:lnTo>
                  <a:pt x="173" y="318"/>
                </a:lnTo>
                <a:lnTo>
                  <a:pt x="173" y="318"/>
                </a:lnTo>
                <a:lnTo>
                  <a:pt x="149" y="317"/>
                </a:lnTo>
                <a:lnTo>
                  <a:pt x="127" y="312"/>
                </a:lnTo>
                <a:lnTo>
                  <a:pt x="127" y="312"/>
                </a:lnTo>
                <a:lnTo>
                  <a:pt x="106" y="305"/>
                </a:lnTo>
                <a:lnTo>
                  <a:pt x="85" y="295"/>
                </a:lnTo>
                <a:lnTo>
                  <a:pt x="85" y="295"/>
                </a:lnTo>
                <a:lnTo>
                  <a:pt x="70" y="285"/>
                </a:lnTo>
                <a:lnTo>
                  <a:pt x="57" y="275"/>
                </a:lnTo>
                <a:lnTo>
                  <a:pt x="45" y="263"/>
                </a:lnTo>
                <a:lnTo>
                  <a:pt x="35" y="249"/>
                </a:lnTo>
                <a:lnTo>
                  <a:pt x="25" y="236"/>
                </a:lnTo>
                <a:lnTo>
                  <a:pt x="16" y="221"/>
                </a:lnTo>
                <a:lnTo>
                  <a:pt x="10" y="206"/>
                </a:lnTo>
                <a:lnTo>
                  <a:pt x="5" y="190"/>
                </a:lnTo>
                <a:lnTo>
                  <a:pt x="5" y="190"/>
                </a:lnTo>
                <a:lnTo>
                  <a:pt x="1" y="174"/>
                </a:lnTo>
                <a:lnTo>
                  <a:pt x="0" y="159"/>
                </a:lnTo>
                <a:lnTo>
                  <a:pt x="0" y="142"/>
                </a:lnTo>
                <a:lnTo>
                  <a:pt x="1" y="125"/>
                </a:lnTo>
                <a:lnTo>
                  <a:pt x="3" y="108"/>
                </a:lnTo>
                <a:lnTo>
                  <a:pt x="8" y="91"/>
                </a:lnTo>
                <a:lnTo>
                  <a:pt x="15" y="74"/>
                </a:lnTo>
                <a:lnTo>
                  <a:pt x="23" y="59"/>
                </a:lnTo>
                <a:lnTo>
                  <a:pt x="23" y="59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16" name="Freeform 493">
            <a:extLst>
              <a:ext uri="{FF2B5EF4-FFF2-40B4-BE49-F238E27FC236}">
                <a16:creationId xmlns:a16="http://schemas.microsoft.com/office/drawing/2014/main" id="{00000000-0008-0000-0400-000074000000}"/>
              </a:ext>
            </a:extLst>
          </xdr:cNvPr>
          <xdr:cNvSpPr>
            <a:spLocks/>
          </xdr:cNvSpPr>
        </xdr:nvSpPr>
        <xdr:spPr bwMode="auto">
          <a:xfrm>
            <a:off x="10252075" y="11812588"/>
            <a:ext cx="106363" cy="163513"/>
          </a:xfrm>
          <a:custGeom>
            <a:avLst/>
            <a:gdLst>
              <a:gd name="T0" fmla="*/ 25 w 133"/>
              <a:gd name="T1" fmla="*/ 200 h 207"/>
              <a:gd name="T2" fmla="*/ 25 w 133"/>
              <a:gd name="T3" fmla="*/ 200 h 207"/>
              <a:gd name="T4" fmla="*/ 22 w 133"/>
              <a:gd name="T5" fmla="*/ 205 h 207"/>
              <a:gd name="T6" fmla="*/ 17 w 133"/>
              <a:gd name="T7" fmla="*/ 207 h 207"/>
              <a:gd name="T8" fmla="*/ 12 w 133"/>
              <a:gd name="T9" fmla="*/ 207 h 207"/>
              <a:gd name="T10" fmla="*/ 7 w 133"/>
              <a:gd name="T11" fmla="*/ 205 h 207"/>
              <a:gd name="T12" fmla="*/ 7 w 133"/>
              <a:gd name="T13" fmla="*/ 205 h 207"/>
              <a:gd name="T14" fmla="*/ 3 w 133"/>
              <a:gd name="T15" fmla="*/ 202 h 207"/>
              <a:gd name="T16" fmla="*/ 0 w 133"/>
              <a:gd name="T17" fmla="*/ 197 h 207"/>
              <a:gd name="T18" fmla="*/ 0 w 133"/>
              <a:gd name="T19" fmla="*/ 192 h 207"/>
              <a:gd name="T20" fmla="*/ 2 w 133"/>
              <a:gd name="T21" fmla="*/ 187 h 207"/>
              <a:gd name="T22" fmla="*/ 108 w 133"/>
              <a:gd name="T23" fmla="*/ 7 h 207"/>
              <a:gd name="T24" fmla="*/ 108 w 133"/>
              <a:gd name="T25" fmla="*/ 7 h 207"/>
              <a:gd name="T26" fmla="*/ 111 w 133"/>
              <a:gd name="T27" fmla="*/ 2 h 207"/>
              <a:gd name="T28" fmla="*/ 114 w 133"/>
              <a:gd name="T29" fmla="*/ 0 h 207"/>
              <a:gd name="T30" fmla="*/ 121 w 133"/>
              <a:gd name="T31" fmla="*/ 0 h 207"/>
              <a:gd name="T32" fmla="*/ 126 w 133"/>
              <a:gd name="T33" fmla="*/ 2 h 207"/>
              <a:gd name="T34" fmla="*/ 126 w 133"/>
              <a:gd name="T35" fmla="*/ 2 h 207"/>
              <a:gd name="T36" fmla="*/ 129 w 133"/>
              <a:gd name="T37" fmla="*/ 5 h 207"/>
              <a:gd name="T38" fmla="*/ 131 w 133"/>
              <a:gd name="T39" fmla="*/ 9 h 207"/>
              <a:gd name="T40" fmla="*/ 133 w 133"/>
              <a:gd name="T41" fmla="*/ 15 h 207"/>
              <a:gd name="T42" fmla="*/ 129 w 133"/>
              <a:gd name="T43" fmla="*/ 20 h 207"/>
              <a:gd name="T44" fmla="*/ 25 w 133"/>
              <a:gd name="T45" fmla="*/ 200 h 2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133" h="207">
                <a:moveTo>
                  <a:pt x="25" y="200"/>
                </a:moveTo>
                <a:lnTo>
                  <a:pt x="25" y="200"/>
                </a:lnTo>
                <a:lnTo>
                  <a:pt x="22" y="205"/>
                </a:lnTo>
                <a:lnTo>
                  <a:pt x="17" y="207"/>
                </a:lnTo>
                <a:lnTo>
                  <a:pt x="12" y="207"/>
                </a:lnTo>
                <a:lnTo>
                  <a:pt x="7" y="205"/>
                </a:lnTo>
                <a:lnTo>
                  <a:pt x="7" y="205"/>
                </a:lnTo>
                <a:lnTo>
                  <a:pt x="3" y="202"/>
                </a:lnTo>
                <a:lnTo>
                  <a:pt x="0" y="197"/>
                </a:lnTo>
                <a:lnTo>
                  <a:pt x="0" y="192"/>
                </a:lnTo>
                <a:lnTo>
                  <a:pt x="2" y="187"/>
                </a:lnTo>
                <a:lnTo>
                  <a:pt x="108" y="7"/>
                </a:lnTo>
                <a:lnTo>
                  <a:pt x="108" y="7"/>
                </a:lnTo>
                <a:lnTo>
                  <a:pt x="111" y="2"/>
                </a:lnTo>
                <a:lnTo>
                  <a:pt x="114" y="0"/>
                </a:lnTo>
                <a:lnTo>
                  <a:pt x="121" y="0"/>
                </a:lnTo>
                <a:lnTo>
                  <a:pt x="126" y="2"/>
                </a:lnTo>
                <a:lnTo>
                  <a:pt x="126" y="2"/>
                </a:lnTo>
                <a:lnTo>
                  <a:pt x="129" y="5"/>
                </a:lnTo>
                <a:lnTo>
                  <a:pt x="131" y="9"/>
                </a:lnTo>
                <a:lnTo>
                  <a:pt x="133" y="15"/>
                </a:lnTo>
                <a:lnTo>
                  <a:pt x="129" y="20"/>
                </a:lnTo>
                <a:lnTo>
                  <a:pt x="25" y="20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17" name="Freeform 494">
            <a:extLst>
              <a:ext uri="{FF2B5EF4-FFF2-40B4-BE49-F238E27FC236}">
                <a16:creationId xmlns:a16="http://schemas.microsoft.com/office/drawing/2014/main" id="{00000000-0008-0000-0400-000075000000}"/>
              </a:ext>
            </a:extLst>
          </xdr:cNvPr>
          <xdr:cNvSpPr>
            <a:spLocks noEditPoints="1"/>
          </xdr:cNvSpPr>
        </xdr:nvSpPr>
        <xdr:spPr bwMode="auto">
          <a:xfrm>
            <a:off x="9496425" y="11787188"/>
            <a:ext cx="1128713" cy="1050925"/>
          </a:xfrm>
          <a:custGeom>
            <a:avLst/>
            <a:gdLst>
              <a:gd name="T0" fmla="*/ 74 w 1423"/>
              <a:gd name="T1" fmla="*/ 661 h 1325"/>
              <a:gd name="T2" fmla="*/ 44 w 1423"/>
              <a:gd name="T3" fmla="*/ 755 h 1325"/>
              <a:gd name="T4" fmla="*/ 143 w 1423"/>
              <a:gd name="T5" fmla="*/ 794 h 1325"/>
              <a:gd name="T6" fmla="*/ 278 w 1423"/>
              <a:gd name="T7" fmla="*/ 883 h 1325"/>
              <a:gd name="T8" fmla="*/ 359 w 1423"/>
              <a:gd name="T9" fmla="*/ 971 h 1325"/>
              <a:gd name="T10" fmla="*/ 426 w 1423"/>
              <a:gd name="T11" fmla="*/ 1092 h 1325"/>
              <a:gd name="T12" fmla="*/ 495 w 1423"/>
              <a:gd name="T13" fmla="*/ 1127 h 1325"/>
              <a:gd name="T14" fmla="*/ 631 w 1423"/>
              <a:gd name="T15" fmla="*/ 1127 h 1325"/>
              <a:gd name="T16" fmla="*/ 762 w 1423"/>
              <a:gd name="T17" fmla="*/ 1157 h 1325"/>
              <a:gd name="T18" fmla="*/ 898 w 1423"/>
              <a:gd name="T19" fmla="*/ 1226 h 1325"/>
              <a:gd name="T20" fmla="*/ 971 w 1423"/>
              <a:gd name="T21" fmla="*/ 1285 h 1325"/>
              <a:gd name="T22" fmla="*/ 1055 w 1423"/>
              <a:gd name="T23" fmla="*/ 1201 h 1325"/>
              <a:gd name="T24" fmla="*/ 1154 w 1423"/>
              <a:gd name="T25" fmla="*/ 1140 h 1325"/>
              <a:gd name="T26" fmla="*/ 1252 w 1423"/>
              <a:gd name="T27" fmla="*/ 1110 h 1325"/>
              <a:gd name="T28" fmla="*/ 1359 w 1423"/>
              <a:gd name="T29" fmla="*/ 1004 h 1325"/>
              <a:gd name="T30" fmla="*/ 1396 w 1423"/>
              <a:gd name="T31" fmla="*/ 755 h 1325"/>
              <a:gd name="T32" fmla="*/ 1366 w 1423"/>
              <a:gd name="T33" fmla="*/ 552 h 1325"/>
              <a:gd name="T34" fmla="*/ 1252 w 1423"/>
              <a:gd name="T35" fmla="*/ 321 h 1325"/>
              <a:gd name="T36" fmla="*/ 1188 w 1423"/>
              <a:gd name="T37" fmla="*/ 244 h 1325"/>
              <a:gd name="T38" fmla="*/ 1087 w 1423"/>
              <a:gd name="T39" fmla="*/ 158 h 1325"/>
              <a:gd name="T40" fmla="*/ 1043 w 1423"/>
              <a:gd name="T41" fmla="*/ 130 h 1325"/>
              <a:gd name="T42" fmla="*/ 962 w 1423"/>
              <a:gd name="T43" fmla="*/ 88 h 1325"/>
              <a:gd name="T44" fmla="*/ 819 w 1423"/>
              <a:gd name="T45" fmla="*/ 42 h 1325"/>
              <a:gd name="T46" fmla="*/ 695 w 1423"/>
              <a:gd name="T47" fmla="*/ 27 h 1325"/>
              <a:gd name="T48" fmla="*/ 438 w 1423"/>
              <a:gd name="T49" fmla="*/ 61 h 1325"/>
              <a:gd name="T50" fmla="*/ 253 w 1423"/>
              <a:gd name="T51" fmla="*/ 146 h 1325"/>
              <a:gd name="T52" fmla="*/ 64 w 1423"/>
              <a:gd name="T53" fmla="*/ 316 h 1325"/>
              <a:gd name="T54" fmla="*/ 63 w 1423"/>
              <a:gd name="T55" fmla="*/ 434 h 1325"/>
              <a:gd name="T56" fmla="*/ 83 w 1423"/>
              <a:gd name="T57" fmla="*/ 564 h 1325"/>
              <a:gd name="T58" fmla="*/ 51 w 1423"/>
              <a:gd name="T59" fmla="*/ 627 h 1325"/>
              <a:gd name="T60" fmla="*/ 49 w 1423"/>
              <a:gd name="T61" fmla="*/ 498 h 1325"/>
              <a:gd name="T62" fmla="*/ 20 w 1423"/>
              <a:gd name="T63" fmla="*/ 397 h 1325"/>
              <a:gd name="T64" fmla="*/ 37 w 1423"/>
              <a:gd name="T65" fmla="*/ 305 h 1325"/>
              <a:gd name="T66" fmla="*/ 236 w 1423"/>
              <a:gd name="T67" fmla="*/ 125 h 1325"/>
              <a:gd name="T68" fmla="*/ 429 w 1423"/>
              <a:gd name="T69" fmla="*/ 35 h 1325"/>
              <a:gd name="T70" fmla="*/ 695 w 1423"/>
              <a:gd name="T71" fmla="*/ 0 h 1325"/>
              <a:gd name="T72" fmla="*/ 826 w 1423"/>
              <a:gd name="T73" fmla="*/ 15 h 1325"/>
              <a:gd name="T74" fmla="*/ 972 w 1423"/>
              <a:gd name="T75" fmla="*/ 62 h 1325"/>
              <a:gd name="T76" fmla="*/ 1057 w 1423"/>
              <a:gd name="T77" fmla="*/ 108 h 1325"/>
              <a:gd name="T78" fmla="*/ 1129 w 1423"/>
              <a:gd name="T79" fmla="*/ 157 h 1325"/>
              <a:gd name="T80" fmla="*/ 1230 w 1423"/>
              <a:gd name="T81" fmla="*/ 252 h 1325"/>
              <a:gd name="T82" fmla="*/ 1304 w 1423"/>
              <a:gd name="T83" fmla="*/ 350 h 1325"/>
              <a:gd name="T84" fmla="*/ 1405 w 1423"/>
              <a:gd name="T85" fmla="*/ 597 h 1325"/>
              <a:gd name="T86" fmla="*/ 1423 w 1423"/>
              <a:gd name="T87" fmla="*/ 807 h 1325"/>
              <a:gd name="T88" fmla="*/ 1364 w 1423"/>
              <a:gd name="T89" fmla="*/ 1068 h 1325"/>
              <a:gd name="T90" fmla="*/ 1297 w 1423"/>
              <a:gd name="T91" fmla="*/ 1129 h 1325"/>
              <a:gd name="T92" fmla="*/ 1189 w 1423"/>
              <a:gd name="T93" fmla="*/ 1156 h 1325"/>
              <a:gd name="T94" fmla="*/ 1100 w 1423"/>
              <a:gd name="T95" fmla="*/ 1203 h 1325"/>
              <a:gd name="T96" fmla="*/ 1009 w 1423"/>
              <a:gd name="T97" fmla="*/ 1282 h 1325"/>
              <a:gd name="T98" fmla="*/ 964 w 1423"/>
              <a:gd name="T99" fmla="*/ 1315 h 1325"/>
              <a:gd name="T100" fmla="*/ 882 w 1423"/>
              <a:gd name="T101" fmla="*/ 1250 h 1325"/>
              <a:gd name="T102" fmla="*/ 752 w 1423"/>
              <a:gd name="T103" fmla="*/ 1184 h 1325"/>
              <a:gd name="T104" fmla="*/ 651 w 1423"/>
              <a:gd name="T105" fmla="*/ 1157 h 1325"/>
              <a:gd name="T106" fmla="*/ 493 w 1423"/>
              <a:gd name="T107" fmla="*/ 1154 h 1325"/>
              <a:gd name="T108" fmla="*/ 407 w 1423"/>
              <a:gd name="T109" fmla="*/ 1169 h 1325"/>
              <a:gd name="T110" fmla="*/ 392 w 1423"/>
              <a:gd name="T111" fmla="*/ 1080 h 1325"/>
              <a:gd name="T112" fmla="*/ 310 w 1423"/>
              <a:gd name="T113" fmla="*/ 954 h 1325"/>
              <a:gd name="T114" fmla="*/ 222 w 1423"/>
              <a:gd name="T115" fmla="*/ 873 h 1325"/>
              <a:gd name="T116" fmla="*/ 100 w 1423"/>
              <a:gd name="T117" fmla="*/ 802 h 1325"/>
              <a:gd name="T118" fmla="*/ 14 w 1423"/>
              <a:gd name="T119" fmla="*/ 759 h 1325"/>
              <a:gd name="T120" fmla="*/ 41 w 1423"/>
              <a:gd name="T121" fmla="*/ 681 h 13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1423" h="1325">
                <a:moveTo>
                  <a:pt x="83" y="564"/>
                </a:moveTo>
                <a:lnTo>
                  <a:pt x="83" y="564"/>
                </a:lnTo>
                <a:lnTo>
                  <a:pt x="81" y="599"/>
                </a:lnTo>
                <a:lnTo>
                  <a:pt x="78" y="631"/>
                </a:lnTo>
                <a:lnTo>
                  <a:pt x="74" y="661"/>
                </a:lnTo>
                <a:lnTo>
                  <a:pt x="68" y="688"/>
                </a:lnTo>
                <a:lnTo>
                  <a:pt x="68" y="688"/>
                </a:lnTo>
                <a:lnTo>
                  <a:pt x="56" y="725"/>
                </a:lnTo>
                <a:lnTo>
                  <a:pt x="44" y="755"/>
                </a:lnTo>
                <a:lnTo>
                  <a:pt x="44" y="755"/>
                </a:lnTo>
                <a:lnTo>
                  <a:pt x="66" y="762"/>
                </a:lnTo>
                <a:lnTo>
                  <a:pt x="89" y="770"/>
                </a:lnTo>
                <a:lnTo>
                  <a:pt x="115" y="781"/>
                </a:lnTo>
                <a:lnTo>
                  <a:pt x="143" y="794"/>
                </a:lnTo>
                <a:lnTo>
                  <a:pt x="143" y="794"/>
                </a:lnTo>
                <a:lnTo>
                  <a:pt x="180" y="813"/>
                </a:lnTo>
                <a:lnTo>
                  <a:pt x="219" y="836"/>
                </a:lnTo>
                <a:lnTo>
                  <a:pt x="239" y="851"/>
                </a:lnTo>
                <a:lnTo>
                  <a:pt x="258" y="866"/>
                </a:lnTo>
                <a:lnTo>
                  <a:pt x="278" y="883"/>
                </a:lnTo>
                <a:lnTo>
                  <a:pt x="298" y="902"/>
                </a:lnTo>
                <a:lnTo>
                  <a:pt x="298" y="902"/>
                </a:lnTo>
                <a:lnTo>
                  <a:pt x="315" y="918"/>
                </a:lnTo>
                <a:lnTo>
                  <a:pt x="330" y="937"/>
                </a:lnTo>
                <a:lnTo>
                  <a:pt x="359" y="971"/>
                </a:lnTo>
                <a:lnTo>
                  <a:pt x="382" y="1006"/>
                </a:lnTo>
                <a:lnTo>
                  <a:pt x="401" y="1040"/>
                </a:lnTo>
                <a:lnTo>
                  <a:pt x="401" y="1040"/>
                </a:lnTo>
                <a:lnTo>
                  <a:pt x="416" y="1066"/>
                </a:lnTo>
                <a:lnTo>
                  <a:pt x="426" y="1092"/>
                </a:lnTo>
                <a:lnTo>
                  <a:pt x="436" y="1114"/>
                </a:lnTo>
                <a:lnTo>
                  <a:pt x="443" y="1134"/>
                </a:lnTo>
                <a:lnTo>
                  <a:pt x="443" y="1134"/>
                </a:lnTo>
                <a:lnTo>
                  <a:pt x="466" y="1130"/>
                </a:lnTo>
                <a:lnTo>
                  <a:pt x="495" y="1127"/>
                </a:lnTo>
                <a:lnTo>
                  <a:pt x="527" y="1124"/>
                </a:lnTo>
                <a:lnTo>
                  <a:pt x="562" y="1124"/>
                </a:lnTo>
                <a:lnTo>
                  <a:pt x="562" y="1124"/>
                </a:lnTo>
                <a:lnTo>
                  <a:pt x="607" y="1125"/>
                </a:lnTo>
                <a:lnTo>
                  <a:pt x="631" y="1127"/>
                </a:lnTo>
                <a:lnTo>
                  <a:pt x="656" y="1130"/>
                </a:lnTo>
                <a:lnTo>
                  <a:pt x="681" y="1135"/>
                </a:lnTo>
                <a:lnTo>
                  <a:pt x="708" y="1142"/>
                </a:lnTo>
                <a:lnTo>
                  <a:pt x="735" y="1149"/>
                </a:lnTo>
                <a:lnTo>
                  <a:pt x="762" y="1157"/>
                </a:lnTo>
                <a:lnTo>
                  <a:pt x="762" y="1157"/>
                </a:lnTo>
                <a:lnTo>
                  <a:pt x="801" y="1172"/>
                </a:lnTo>
                <a:lnTo>
                  <a:pt x="836" y="1191"/>
                </a:lnTo>
                <a:lnTo>
                  <a:pt x="868" y="1208"/>
                </a:lnTo>
                <a:lnTo>
                  <a:pt x="898" y="1226"/>
                </a:lnTo>
                <a:lnTo>
                  <a:pt x="898" y="1226"/>
                </a:lnTo>
                <a:lnTo>
                  <a:pt x="919" y="1241"/>
                </a:lnTo>
                <a:lnTo>
                  <a:pt x="939" y="1257"/>
                </a:lnTo>
                <a:lnTo>
                  <a:pt x="971" y="1285"/>
                </a:lnTo>
                <a:lnTo>
                  <a:pt x="971" y="1285"/>
                </a:lnTo>
                <a:lnTo>
                  <a:pt x="996" y="1255"/>
                </a:lnTo>
                <a:lnTo>
                  <a:pt x="1011" y="1240"/>
                </a:lnTo>
                <a:lnTo>
                  <a:pt x="1030" y="1223"/>
                </a:lnTo>
                <a:lnTo>
                  <a:pt x="1030" y="1223"/>
                </a:lnTo>
                <a:lnTo>
                  <a:pt x="1055" y="1201"/>
                </a:lnTo>
                <a:lnTo>
                  <a:pt x="1085" y="1179"/>
                </a:lnTo>
                <a:lnTo>
                  <a:pt x="1117" y="1159"/>
                </a:lnTo>
                <a:lnTo>
                  <a:pt x="1154" y="1140"/>
                </a:lnTo>
                <a:lnTo>
                  <a:pt x="1154" y="1140"/>
                </a:lnTo>
                <a:lnTo>
                  <a:pt x="1154" y="1140"/>
                </a:lnTo>
                <a:lnTo>
                  <a:pt x="1179" y="1130"/>
                </a:lnTo>
                <a:lnTo>
                  <a:pt x="1205" y="1122"/>
                </a:lnTo>
                <a:lnTo>
                  <a:pt x="1228" y="1115"/>
                </a:lnTo>
                <a:lnTo>
                  <a:pt x="1252" y="1110"/>
                </a:lnTo>
                <a:lnTo>
                  <a:pt x="1252" y="1110"/>
                </a:lnTo>
                <a:lnTo>
                  <a:pt x="1289" y="1103"/>
                </a:lnTo>
                <a:lnTo>
                  <a:pt x="1321" y="1100"/>
                </a:lnTo>
                <a:lnTo>
                  <a:pt x="1321" y="1100"/>
                </a:lnTo>
                <a:lnTo>
                  <a:pt x="1341" y="1053"/>
                </a:lnTo>
                <a:lnTo>
                  <a:pt x="1359" y="1004"/>
                </a:lnTo>
                <a:lnTo>
                  <a:pt x="1373" y="954"/>
                </a:lnTo>
                <a:lnTo>
                  <a:pt x="1384" y="905"/>
                </a:lnTo>
                <a:lnTo>
                  <a:pt x="1391" y="855"/>
                </a:lnTo>
                <a:lnTo>
                  <a:pt x="1395" y="804"/>
                </a:lnTo>
                <a:lnTo>
                  <a:pt x="1396" y="755"/>
                </a:lnTo>
                <a:lnTo>
                  <a:pt x="1393" y="705"/>
                </a:lnTo>
                <a:lnTo>
                  <a:pt x="1393" y="705"/>
                </a:lnTo>
                <a:lnTo>
                  <a:pt x="1388" y="654"/>
                </a:lnTo>
                <a:lnTo>
                  <a:pt x="1378" y="602"/>
                </a:lnTo>
                <a:lnTo>
                  <a:pt x="1366" y="552"/>
                </a:lnTo>
                <a:lnTo>
                  <a:pt x="1349" y="503"/>
                </a:lnTo>
                <a:lnTo>
                  <a:pt x="1329" y="456"/>
                </a:lnTo>
                <a:lnTo>
                  <a:pt x="1307" y="409"/>
                </a:lnTo>
                <a:lnTo>
                  <a:pt x="1280" y="365"/>
                </a:lnTo>
                <a:lnTo>
                  <a:pt x="1252" y="321"/>
                </a:lnTo>
                <a:lnTo>
                  <a:pt x="1252" y="321"/>
                </a:lnTo>
                <a:lnTo>
                  <a:pt x="1252" y="321"/>
                </a:lnTo>
                <a:lnTo>
                  <a:pt x="1231" y="294"/>
                </a:lnTo>
                <a:lnTo>
                  <a:pt x="1210" y="269"/>
                </a:lnTo>
                <a:lnTo>
                  <a:pt x="1188" y="244"/>
                </a:lnTo>
                <a:lnTo>
                  <a:pt x="1162" y="220"/>
                </a:lnTo>
                <a:lnTo>
                  <a:pt x="1162" y="220"/>
                </a:lnTo>
                <a:lnTo>
                  <a:pt x="1139" y="199"/>
                </a:lnTo>
                <a:lnTo>
                  <a:pt x="1114" y="178"/>
                </a:lnTo>
                <a:lnTo>
                  <a:pt x="1087" y="158"/>
                </a:lnTo>
                <a:lnTo>
                  <a:pt x="1058" y="140"/>
                </a:lnTo>
                <a:lnTo>
                  <a:pt x="1058" y="140"/>
                </a:lnTo>
                <a:lnTo>
                  <a:pt x="1058" y="140"/>
                </a:lnTo>
                <a:lnTo>
                  <a:pt x="1043" y="130"/>
                </a:lnTo>
                <a:lnTo>
                  <a:pt x="1043" y="130"/>
                </a:lnTo>
                <a:lnTo>
                  <a:pt x="1028" y="121"/>
                </a:lnTo>
                <a:lnTo>
                  <a:pt x="1028" y="121"/>
                </a:lnTo>
                <a:lnTo>
                  <a:pt x="1028" y="121"/>
                </a:lnTo>
                <a:lnTo>
                  <a:pt x="996" y="104"/>
                </a:lnTo>
                <a:lnTo>
                  <a:pt x="962" y="88"/>
                </a:lnTo>
                <a:lnTo>
                  <a:pt x="927" y="74"/>
                </a:lnTo>
                <a:lnTo>
                  <a:pt x="893" y="61"/>
                </a:lnTo>
                <a:lnTo>
                  <a:pt x="893" y="61"/>
                </a:lnTo>
                <a:lnTo>
                  <a:pt x="856" y="51"/>
                </a:lnTo>
                <a:lnTo>
                  <a:pt x="819" y="42"/>
                </a:lnTo>
                <a:lnTo>
                  <a:pt x="784" y="35"/>
                </a:lnTo>
                <a:lnTo>
                  <a:pt x="747" y="30"/>
                </a:lnTo>
                <a:lnTo>
                  <a:pt x="745" y="30"/>
                </a:lnTo>
                <a:lnTo>
                  <a:pt x="745" y="30"/>
                </a:lnTo>
                <a:lnTo>
                  <a:pt x="695" y="27"/>
                </a:lnTo>
                <a:lnTo>
                  <a:pt x="643" y="27"/>
                </a:lnTo>
                <a:lnTo>
                  <a:pt x="591" y="30"/>
                </a:lnTo>
                <a:lnTo>
                  <a:pt x="538" y="37"/>
                </a:lnTo>
                <a:lnTo>
                  <a:pt x="488" y="47"/>
                </a:lnTo>
                <a:lnTo>
                  <a:pt x="438" y="61"/>
                </a:lnTo>
                <a:lnTo>
                  <a:pt x="387" y="78"/>
                </a:lnTo>
                <a:lnTo>
                  <a:pt x="340" y="98"/>
                </a:lnTo>
                <a:lnTo>
                  <a:pt x="340" y="98"/>
                </a:lnTo>
                <a:lnTo>
                  <a:pt x="295" y="121"/>
                </a:lnTo>
                <a:lnTo>
                  <a:pt x="253" y="146"/>
                </a:lnTo>
                <a:lnTo>
                  <a:pt x="211" y="175"/>
                </a:lnTo>
                <a:lnTo>
                  <a:pt x="170" y="205"/>
                </a:lnTo>
                <a:lnTo>
                  <a:pt x="133" y="241"/>
                </a:lnTo>
                <a:lnTo>
                  <a:pt x="98" y="278"/>
                </a:lnTo>
                <a:lnTo>
                  <a:pt x="64" y="316"/>
                </a:lnTo>
                <a:lnTo>
                  <a:pt x="32" y="358"/>
                </a:lnTo>
                <a:lnTo>
                  <a:pt x="32" y="358"/>
                </a:lnTo>
                <a:lnTo>
                  <a:pt x="47" y="392"/>
                </a:lnTo>
                <a:lnTo>
                  <a:pt x="54" y="412"/>
                </a:lnTo>
                <a:lnTo>
                  <a:pt x="63" y="434"/>
                </a:lnTo>
                <a:lnTo>
                  <a:pt x="63" y="434"/>
                </a:lnTo>
                <a:lnTo>
                  <a:pt x="69" y="463"/>
                </a:lnTo>
                <a:lnTo>
                  <a:pt x="76" y="493"/>
                </a:lnTo>
                <a:lnTo>
                  <a:pt x="79" y="527"/>
                </a:lnTo>
                <a:lnTo>
                  <a:pt x="83" y="564"/>
                </a:lnTo>
                <a:lnTo>
                  <a:pt x="83" y="564"/>
                </a:lnTo>
                <a:close/>
                <a:moveTo>
                  <a:pt x="41" y="681"/>
                </a:moveTo>
                <a:lnTo>
                  <a:pt x="41" y="681"/>
                </a:lnTo>
                <a:lnTo>
                  <a:pt x="47" y="656"/>
                </a:lnTo>
                <a:lnTo>
                  <a:pt x="51" y="627"/>
                </a:lnTo>
                <a:lnTo>
                  <a:pt x="54" y="597"/>
                </a:lnTo>
                <a:lnTo>
                  <a:pt x="56" y="564"/>
                </a:lnTo>
                <a:lnTo>
                  <a:pt x="56" y="564"/>
                </a:lnTo>
                <a:lnTo>
                  <a:pt x="54" y="530"/>
                </a:lnTo>
                <a:lnTo>
                  <a:pt x="49" y="498"/>
                </a:lnTo>
                <a:lnTo>
                  <a:pt x="44" y="469"/>
                </a:lnTo>
                <a:lnTo>
                  <a:pt x="36" y="442"/>
                </a:lnTo>
                <a:lnTo>
                  <a:pt x="36" y="442"/>
                </a:lnTo>
                <a:lnTo>
                  <a:pt x="29" y="417"/>
                </a:lnTo>
                <a:lnTo>
                  <a:pt x="20" y="397"/>
                </a:lnTo>
                <a:lnTo>
                  <a:pt x="5" y="363"/>
                </a:lnTo>
                <a:lnTo>
                  <a:pt x="0" y="357"/>
                </a:lnTo>
                <a:lnTo>
                  <a:pt x="5" y="350"/>
                </a:lnTo>
                <a:lnTo>
                  <a:pt x="5" y="350"/>
                </a:lnTo>
                <a:lnTo>
                  <a:pt x="37" y="305"/>
                </a:lnTo>
                <a:lnTo>
                  <a:pt x="73" y="263"/>
                </a:lnTo>
                <a:lnTo>
                  <a:pt x="111" y="224"/>
                </a:lnTo>
                <a:lnTo>
                  <a:pt x="150" y="189"/>
                </a:lnTo>
                <a:lnTo>
                  <a:pt x="192" y="155"/>
                </a:lnTo>
                <a:lnTo>
                  <a:pt x="236" y="125"/>
                </a:lnTo>
                <a:lnTo>
                  <a:pt x="281" y="98"/>
                </a:lnTo>
                <a:lnTo>
                  <a:pt x="328" y="74"/>
                </a:lnTo>
                <a:lnTo>
                  <a:pt x="328" y="74"/>
                </a:lnTo>
                <a:lnTo>
                  <a:pt x="379" y="52"/>
                </a:lnTo>
                <a:lnTo>
                  <a:pt x="429" y="35"/>
                </a:lnTo>
                <a:lnTo>
                  <a:pt x="481" y="20"/>
                </a:lnTo>
                <a:lnTo>
                  <a:pt x="533" y="10"/>
                </a:lnTo>
                <a:lnTo>
                  <a:pt x="587" y="4"/>
                </a:lnTo>
                <a:lnTo>
                  <a:pt x="641" y="0"/>
                </a:lnTo>
                <a:lnTo>
                  <a:pt x="695" y="0"/>
                </a:lnTo>
                <a:lnTo>
                  <a:pt x="749" y="4"/>
                </a:lnTo>
                <a:lnTo>
                  <a:pt x="749" y="4"/>
                </a:lnTo>
                <a:lnTo>
                  <a:pt x="749" y="4"/>
                </a:lnTo>
                <a:lnTo>
                  <a:pt x="787" y="9"/>
                </a:lnTo>
                <a:lnTo>
                  <a:pt x="826" y="15"/>
                </a:lnTo>
                <a:lnTo>
                  <a:pt x="863" y="25"/>
                </a:lnTo>
                <a:lnTo>
                  <a:pt x="900" y="35"/>
                </a:lnTo>
                <a:lnTo>
                  <a:pt x="900" y="35"/>
                </a:lnTo>
                <a:lnTo>
                  <a:pt x="937" y="49"/>
                </a:lnTo>
                <a:lnTo>
                  <a:pt x="972" y="62"/>
                </a:lnTo>
                <a:lnTo>
                  <a:pt x="1008" y="79"/>
                </a:lnTo>
                <a:lnTo>
                  <a:pt x="1041" y="98"/>
                </a:lnTo>
                <a:lnTo>
                  <a:pt x="1041" y="98"/>
                </a:lnTo>
                <a:lnTo>
                  <a:pt x="1057" y="108"/>
                </a:lnTo>
                <a:lnTo>
                  <a:pt x="1057" y="108"/>
                </a:lnTo>
                <a:lnTo>
                  <a:pt x="1073" y="116"/>
                </a:lnTo>
                <a:lnTo>
                  <a:pt x="1073" y="116"/>
                </a:lnTo>
                <a:lnTo>
                  <a:pt x="1073" y="116"/>
                </a:lnTo>
                <a:lnTo>
                  <a:pt x="1102" y="136"/>
                </a:lnTo>
                <a:lnTo>
                  <a:pt x="1129" y="157"/>
                </a:lnTo>
                <a:lnTo>
                  <a:pt x="1156" y="178"/>
                </a:lnTo>
                <a:lnTo>
                  <a:pt x="1181" y="202"/>
                </a:lnTo>
                <a:lnTo>
                  <a:pt x="1181" y="202"/>
                </a:lnTo>
                <a:lnTo>
                  <a:pt x="1206" y="226"/>
                </a:lnTo>
                <a:lnTo>
                  <a:pt x="1230" y="252"/>
                </a:lnTo>
                <a:lnTo>
                  <a:pt x="1253" y="278"/>
                </a:lnTo>
                <a:lnTo>
                  <a:pt x="1273" y="306"/>
                </a:lnTo>
                <a:lnTo>
                  <a:pt x="1273" y="306"/>
                </a:lnTo>
                <a:lnTo>
                  <a:pt x="1273" y="306"/>
                </a:lnTo>
                <a:lnTo>
                  <a:pt x="1304" y="350"/>
                </a:lnTo>
                <a:lnTo>
                  <a:pt x="1331" y="397"/>
                </a:lnTo>
                <a:lnTo>
                  <a:pt x="1354" y="444"/>
                </a:lnTo>
                <a:lnTo>
                  <a:pt x="1374" y="495"/>
                </a:lnTo>
                <a:lnTo>
                  <a:pt x="1391" y="545"/>
                </a:lnTo>
                <a:lnTo>
                  <a:pt x="1405" y="597"/>
                </a:lnTo>
                <a:lnTo>
                  <a:pt x="1415" y="649"/>
                </a:lnTo>
                <a:lnTo>
                  <a:pt x="1421" y="703"/>
                </a:lnTo>
                <a:lnTo>
                  <a:pt x="1421" y="703"/>
                </a:lnTo>
                <a:lnTo>
                  <a:pt x="1423" y="755"/>
                </a:lnTo>
                <a:lnTo>
                  <a:pt x="1423" y="807"/>
                </a:lnTo>
                <a:lnTo>
                  <a:pt x="1418" y="861"/>
                </a:lnTo>
                <a:lnTo>
                  <a:pt x="1410" y="913"/>
                </a:lnTo>
                <a:lnTo>
                  <a:pt x="1398" y="966"/>
                </a:lnTo>
                <a:lnTo>
                  <a:pt x="1383" y="1018"/>
                </a:lnTo>
                <a:lnTo>
                  <a:pt x="1364" y="1068"/>
                </a:lnTo>
                <a:lnTo>
                  <a:pt x="1341" y="1119"/>
                </a:lnTo>
                <a:lnTo>
                  <a:pt x="1337" y="1127"/>
                </a:lnTo>
                <a:lnTo>
                  <a:pt x="1329" y="1127"/>
                </a:lnTo>
                <a:lnTo>
                  <a:pt x="1329" y="1127"/>
                </a:lnTo>
                <a:lnTo>
                  <a:pt x="1297" y="1129"/>
                </a:lnTo>
                <a:lnTo>
                  <a:pt x="1257" y="1135"/>
                </a:lnTo>
                <a:lnTo>
                  <a:pt x="1257" y="1135"/>
                </a:lnTo>
                <a:lnTo>
                  <a:pt x="1235" y="1140"/>
                </a:lnTo>
                <a:lnTo>
                  <a:pt x="1213" y="1147"/>
                </a:lnTo>
                <a:lnTo>
                  <a:pt x="1189" y="1156"/>
                </a:lnTo>
                <a:lnTo>
                  <a:pt x="1166" y="1166"/>
                </a:lnTo>
                <a:lnTo>
                  <a:pt x="1166" y="1166"/>
                </a:lnTo>
                <a:lnTo>
                  <a:pt x="1166" y="1166"/>
                </a:lnTo>
                <a:lnTo>
                  <a:pt x="1131" y="1183"/>
                </a:lnTo>
                <a:lnTo>
                  <a:pt x="1100" y="1203"/>
                </a:lnTo>
                <a:lnTo>
                  <a:pt x="1072" y="1223"/>
                </a:lnTo>
                <a:lnTo>
                  <a:pt x="1048" y="1243"/>
                </a:lnTo>
                <a:lnTo>
                  <a:pt x="1048" y="1243"/>
                </a:lnTo>
                <a:lnTo>
                  <a:pt x="1026" y="1262"/>
                </a:lnTo>
                <a:lnTo>
                  <a:pt x="1009" y="1282"/>
                </a:lnTo>
                <a:lnTo>
                  <a:pt x="994" y="1299"/>
                </a:lnTo>
                <a:lnTo>
                  <a:pt x="984" y="1312"/>
                </a:lnTo>
                <a:lnTo>
                  <a:pt x="974" y="1325"/>
                </a:lnTo>
                <a:lnTo>
                  <a:pt x="964" y="1315"/>
                </a:lnTo>
                <a:lnTo>
                  <a:pt x="964" y="1315"/>
                </a:lnTo>
                <a:lnTo>
                  <a:pt x="947" y="1300"/>
                </a:lnTo>
                <a:lnTo>
                  <a:pt x="929" y="1283"/>
                </a:lnTo>
                <a:lnTo>
                  <a:pt x="907" y="1267"/>
                </a:lnTo>
                <a:lnTo>
                  <a:pt x="882" y="1250"/>
                </a:lnTo>
                <a:lnTo>
                  <a:pt x="882" y="1250"/>
                </a:lnTo>
                <a:lnTo>
                  <a:pt x="855" y="1231"/>
                </a:lnTo>
                <a:lnTo>
                  <a:pt x="824" y="1214"/>
                </a:lnTo>
                <a:lnTo>
                  <a:pt x="789" y="1198"/>
                </a:lnTo>
                <a:lnTo>
                  <a:pt x="752" y="1184"/>
                </a:lnTo>
                <a:lnTo>
                  <a:pt x="752" y="1184"/>
                </a:lnTo>
                <a:lnTo>
                  <a:pt x="752" y="1184"/>
                </a:lnTo>
                <a:lnTo>
                  <a:pt x="727" y="1174"/>
                </a:lnTo>
                <a:lnTo>
                  <a:pt x="702" y="1167"/>
                </a:lnTo>
                <a:lnTo>
                  <a:pt x="676" y="1162"/>
                </a:lnTo>
                <a:lnTo>
                  <a:pt x="651" y="1157"/>
                </a:lnTo>
                <a:lnTo>
                  <a:pt x="606" y="1152"/>
                </a:lnTo>
                <a:lnTo>
                  <a:pt x="562" y="1151"/>
                </a:lnTo>
                <a:lnTo>
                  <a:pt x="562" y="1151"/>
                </a:lnTo>
                <a:lnTo>
                  <a:pt x="525" y="1151"/>
                </a:lnTo>
                <a:lnTo>
                  <a:pt x="493" y="1154"/>
                </a:lnTo>
                <a:lnTo>
                  <a:pt x="464" y="1157"/>
                </a:lnTo>
                <a:lnTo>
                  <a:pt x="441" y="1161"/>
                </a:lnTo>
                <a:lnTo>
                  <a:pt x="429" y="1183"/>
                </a:lnTo>
                <a:lnTo>
                  <a:pt x="424" y="1166"/>
                </a:lnTo>
                <a:lnTo>
                  <a:pt x="407" y="1169"/>
                </a:lnTo>
                <a:lnTo>
                  <a:pt x="419" y="1147"/>
                </a:lnTo>
                <a:lnTo>
                  <a:pt x="419" y="1147"/>
                </a:lnTo>
                <a:lnTo>
                  <a:pt x="412" y="1129"/>
                </a:lnTo>
                <a:lnTo>
                  <a:pt x="402" y="1105"/>
                </a:lnTo>
                <a:lnTo>
                  <a:pt x="392" y="1080"/>
                </a:lnTo>
                <a:lnTo>
                  <a:pt x="377" y="1051"/>
                </a:lnTo>
                <a:lnTo>
                  <a:pt x="377" y="1051"/>
                </a:lnTo>
                <a:lnTo>
                  <a:pt x="359" y="1021"/>
                </a:lnTo>
                <a:lnTo>
                  <a:pt x="337" y="987"/>
                </a:lnTo>
                <a:lnTo>
                  <a:pt x="310" y="954"/>
                </a:lnTo>
                <a:lnTo>
                  <a:pt x="279" y="920"/>
                </a:lnTo>
                <a:lnTo>
                  <a:pt x="279" y="920"/>
                </a:lnTo>
                <a:lnTo>
                  <a:pt x="259" y="903"/>
                </a:lnTo>
                <a:lnTo>
                  <a:pt x="241" y="887"/>
                </a:lnTo>
                <a:lnTo>
                  <a:pt x="222" y="873"/>
                </a:lnTo>
                <a:lnTo>
                  <a:pt x="204" y="860"/>
                </a:lnTo>
                <a:lnTo>
                  <a:pt x="167" y="836"/>
                </a:lnTo>
                <a:lnTo>
                  <a:pt x="131" y="818"/>
                </a:lnTo>
                <a:lnTo>
                  <a:pt x="131" y="818"/>
                </a:lnTo>
                <a:lnTo>
                  <a:pt x="100" y="802"/>
                </a:lnTo>
                <a:lnTo>
                  <a:pt x="69" y="792"/>
                </a:lnTo>
                <a:lnTo>
                  <a:pt x="44" y="784"/>
                </a:lnTo>
                <a:lnTo>
                  <a:pt x="22" y="779"/>
                </a:lnTo>
                <a:lnTo>
                  <a:pt x="7" y="774"/>
                </a:lnTo>
                <a:lnTo>
                  <a:pt x="14" y="759"/>
                </a:lnTo>
                <a:lnTo>
                  <a:pt x="14" y="759"/>
                </a:lnTo>
                <a:lnTo>
                  <a:pt x="27" y="727"/>
                </a:lnTo>
                <a:lnTo>
                  <a:pt x="34" y="705"/>
                </a:lnTo>
                <a:lnTo>
                  <a:pt x="41" y="681"/>
                </a:lnTo>
                <a:lnTo>
                  <a:pt x="41" y="681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ru-RU"/>
            </a:defPPr>
            <a:lvl1pPr marL="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1219170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243833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3657509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487667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6095848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731501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8534187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9753356" algn="l" defTabSz="2438339" rtl="0" eaLnBrk="1" latinLnBrk="0" hangingPunct="1">
              <a:defRPr sz="4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631A54F-F8F8-4F8E-8F77-D2E549388266}">
  <we:reference id="wa104381504" version="1.0.0.0" store="ru-RU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Ins"/>
  <dimension ref="B2:J32"/>
  <sheetViews>
    <sheetView showGridLines="0" workbookViewId="0"/>
  </sheetViews>
  <sheetFormatPr defaultRowHeight="15"/>
  <cols>
    <col min="1" max="1" width="2.85546875" customWidth="1"/>
    <col min="8" max="8" width="26.42578125" customWidth="1"/>
    <col min="10" max="10" width="20.85546875" customWidth="1"/>
  </cols>
  <sheetData>
    <row r="2" spans="2:10" ht="27.75" customHeight="1">
      <c r="B2" s="419" t="s">
        <v>337</v>
      </c>
      <c r="C2" s="419"/>
      <c r="D2" s="419"/>
      <c r="E2" s="419"/>
      <c r="F2" s="419"/>
      <c r="G2" s="419"/>
      <c r="H2" s="419"/>
      <c r="I2" s="419"/>
      <c r="J2" s="419"/>
    </row>
    <row r="3" spans="2:10">
      <c r="B3" s="292"/>
      <c r="C3" s="293"/>
      <c r="D3" s="293"/>
      <c r="E3" s="293"/>
      <c r="F3" s="293"/>
      <c r="G3" s="292"/>
      <c r="H3" s="293"/>
      <c r="I3" s="293"/>
      <c r="J3" s="293"/>
    </row>
    <row r="4" spans="2:10" ht="18.75">
      <c r="B4" s="294" t="s">
        <v>321</v>
      </c>
      <c r="C4" s="293"/>
      <c r="D4" s="293"/>
      <c r="E4" s="293"/>
      <c r="F4" s="293"/>
      <c r="G4" s="293"/>
      <c r="H4" s="293"/>
      <c r="I4" s="293"/>
      <c r="J4" s="293"/>
    </row>
    <row r="5" spans="2:10">
      <c r="B5" s="292"/>
      <c r="C5" s="293"/>
      <c r="D5" s="293"/>
      <c r="E5" s="293"/>
      <c r="F5" s="293"/>
      <c r="G5" s="293"/>
      <c r="H5" s="293"/>
      <c r="I5" s="293"/>
      <c r="J5" s="293"/>
    </row>
    <row r="6" spans="2:10" ht="34.5" customHeight="1">
      <c r="B6" s="420" t="s">
        <v>322</v>
      </c>
      <c r="C6" s="420"/>
      <c r="D6" s="420"/>
      <c r="E6" s="420"/>
      <c r="F6" s="420"/>
      <c r="G6" s="420"/>
      <c r="H6" s="420"/>
      <c r="I6" s="420"/>
      <c r="J6" s="420"/>
    </row>
    <row r="7" spans="2:10">
      <c r="B7" s="295"/>
      <c r="C7" s="293"/>
      <c r="D7" s="293"/>
      <c r="E7" s="293"/>
      <c r="F7" s="293"/>
      <c r="G7" s="293"/>
      <c r="H7" s="293"/>
      <c r="I7" s="293"/>
      <c r="J7" s="293"/>
    </row>
    <row r="8" spans="2:10" ht="18.75">
      <c r="B8" s="294" t="s">
        <v>323</v>
      </c>
      <c r="C8" s="296"/>
      <c r="D8" s="296"/>
      <c r="E8" s="296"/>
      <c r="F8" s="296"/>
      <c r="G8" s="296"/>
      <c r="H8" s="296"/>
      <c r="I8" s="296"/>
      <c r="J8" s="296"/>
    </row>
    <row r="9" spans="2:10" ht="18.75">
      <c r="B9" s="294"/>
      <c r="C9" s="296"/>
      <c r="D9" s="296"/>
      <c r="E9" s="296"/>
      <c r="F9" s="296"/>
      <c r="G9" s="296"/>
      <c r="H9" s="296"/>
      <c r="I9" s="296"/>
      <c r="J9" s="296"/>
    </row>
    <row r="10" spans="2:10">
      <c r="B10" s="295" t="s">
        <v>27</v>
      </c>
      <c r="C10" s="296"/>
      <c r="D10" s="296"/>
      <c r="E10" s="296"/>
      <c r="F10" s="296"/>
      <c r="G10" s="296"/>
      <c r="H10" s="296"/>
      <c r="I10" s="296"/>
      <c r="J10" s="296"/>
    </row>
    <row r="11" spans="2:10">
      <c r="B11" s="295" t="s">
        <v>57</v>
      </c>
      <c r="C11" s="293"/>
      <c r="D11" s="293"/>
      <c r="E11" s="293"/>
      <c r="F11" s="293"/>
      <c r="G11" s="293"/>
      <c r="H11" s="293"/>
      <c r="I11" s="293"/>
      <c r="J11" s="293"/>
    </row>
    <row r="12" spans="2:10">
      <c r="B12" s="295" t="s">
        <v>254</v>
      </c>
      <c r="C12" s="293"/>
      <c r="D12" s="293"/>
      <c r="E12" s="293"/>
      <c r="F12" s="293"/>
      <c r="G12" s="293"/>
      <c r="H12" s="293"/>
      <c r="I12" s="293"/>
      <c r="J12" s="293"/>
    </row>
    <row r="13" spans="2:10">
      <c r="B13" s="293"/>
      <c r="C13" s="293"/>
      <c r="D13" s="293"/>
      <c r="E13" s="293"/>
      <c r="F13" s="293"/>
      <c r="G13" s="293"/>
      <c r="H13" s="293"/>
      <c r="I13" s="293"/>
      <c r="J13" s="293"/>
    </row>
    <row r="14" spans="2:10">
      <c r="B14" s="297" t="s">
        <v>40</v>
      </c>
      <c r="C14" s="293"/>
      <c r="D14" s="293"/>
      <c r="E14" s="293"/>
      <c r="F14" s="293"/>
      <c r="G14" s="293"/>
      <c r="H14" s="293"/>
      <c r="I14" s="293"/>
      <c r="J14" s="293"/>
    </row>
    <row r="15" spans="2:10">
      <c r="B15" s="295" t="s">
        <v>46</v>
      </c>
      <c r="C15" s="293"/>
      <c r="D15" s="293"/>
      <c r="E15" s="293"/>
      <c r="F15" s="293"/>
      <c r="G15" s="293"/>
      <c r="H15" s="293"/>
      <c r="I15" s="293"/>
      <c r="J15" s="293"/>
    </row>
    <row r="16" spans="2:10">
      <c r="B16" s="295" t="s">
        <v>38</v>
      </c>
      <c r="C16" s="293"/>
      <c r="D16" s="293"/>
      <c r="E16" s="293"/>
      <c r="F16" s="293"/>
      <c r="G16" s="293"/>
      <c r="H16" s="293"/>
      <c r="I16" s="293"/>
      <c r="J16" s="293"/>
    </row>
    <row r="17" spans="2:10">
      <c r="B17" s="295" t="s">
        <v>39</v>
      </c>
      <c r="C17" s="293"/>
      <c r="D17" s="293"/>
      <c r="E17" s="293"/>
      <c r="F17" s="293"/>
      <c r="G17" s="293"/>
      <c r="H17" s="293"/>
      <c r="I17" s="293"/>
      <c r="J17" s="293"/>
    </row>
    <row r="18" spans="2:10">
      <c r="B18" s="296" t="s">
        <v>56</v>
      </c>
      <c r="C18" s="293"/>
      <c r="D18" s="293"/>
      <c r="E18" s="293"/>
      <c r="F18" s="293"/>
      <c r="G18" s="293"/>
      <c r="H18" s="293"/>
      <c r="I18" s="293"/>
      <c r="J18" s="293"/>
    </row>
    <row r="19" spans="2:10">
      <c r="B19" s="293"/>
      <c r="C19" s="293"/>
      <c r="D19" s="293"/>
      <c r="E19" s="293"/>
      <c r="F19" s="293"/>
      <c r="G19" s="293"/>
      <c r="H19" s="293"/>
      <c r="I19" s="293"/>
      <c r="J19" s="293"/>
    </row>
    <row r="20" spans="2:10">
      <c r="B20" s="297" t="s">
        <v>9</v>
      </c>
      <c r="C20" s="293"/>
      <c r="D20" s="293"/>
      <c r="E20" s="293"/>
      <c r="F20" s="293"/>
      <c r="G20" s="293"/>
      <c r="H20" s="293"/>
      <c r="I20" s="293"/>
      <c r="J20" s="293"/>
    </row>
    <row r="21" spans="2:10">
      <c r="B21" s="296" t="s">
        <v>55</v>
      </c>
      <c r="C21" s="293"/>
      <c r="D21" s="293"/>
      <c r="E21" s="293"/>
      <c r="F21" s="293"/>
      <c r="G21" s="293"/>
      <c r="H21" s="293"/>
      <c r="I21" s="293"/>
      <c r="J21" s="293"/>
    </row>
    <row r="22" spans="2:10">
      <c r="B22" s="296" t="s">
        <v>248</v>
      </c>
      <c r="C22" s="293"/>
      <c r="D22" s="293"/>
      <c r="E22" s="293"/>
      <c r="F22" s="293"/>
      <c r="G22" s="293"/>
      <c r="H22" s="293"/>
      <c r="I22" s="293"/>
      <c r="J22" s="293"/>
    </row>
    <row r="23" spans="2:10">
      <c r="B23" s="296"/>
      <c r="C23" s="296"/>
      <c r="D23" s="296"/>
      <c r="E23" s="296"/>
      <c r="F23" s="296"/>
      <c r="G23" s="296"/>
      <c r="H23" s="296"/>
      <c r="I23" s="296"/>
      <c r="J23" s="296"/>
    </row>
    <row r="24" spans="2:10">
      <c r="B24" s="296"/>
      <c r="C24" s="296"/>
      <c r="D24" s="296"/>
      <c r="E24" s="296"/>
      <c r="F24" s="296"/>
      <c r="G24" s="296"/>
      <c r="H24" s="296"/>
      <c r="I24" s="296"/>
      <c r="J24" s="296"/>
    </row>
    <row r="25" spans="2:10" ht="18.75">
      <c r="B25" s="294" t="s">
        <v>324</v>
      </c>
      <c r="C25" s="296"/>
      <c r="D25" s="296"/>
      <c r="E25" s="296"/>
      <c r="F25" s="296"/>
      <c r="G25" s="296"/>
      <c r="H25" s="296"/>
      <c r="I25" s="296"/>
      <c r="J25" s="296"/>
    </row>
    <row r="26" spans="2:10">
      <c r="B26" s="296" t="s">
        <v>54</v>
      </c>
      <c r="C26" s="293"/>
      <c r="D26" s="293"/>
      <c r="E26" s="293"/>
      <c r="F26" s="293"/>
      <c r="G26" s="293"/>
      <c r="H26" s="293"/>
      <c r="I26" s="293"/>
      <c r="J26" s="293"/>
    </row>
    <row r="27" spans="2:10">
      <c r="B27" s="296" t="s">
        <v>53</v>
      </c>
      <c r="C27" s="293"/>
      <c r="D27" s="293"/>
      <c r="E27" s="293"/>
      <c r="F27" s="293"/>
      <c r="G27" s="293"/>
      <c r="H27" s="293"/>
      <c r="I27" s="293"/>
      <c r="J27" s="293"/>
    </row>
    <row r="28" spans="2:10">
      <c r="B28" s="296"/>
      <c r="C28" s="296"/>
      <c r="D28" s="296"/>
      <c r="E28" s="296"/>
      <c r="F28" s="296"/>
      <c r="G28" s="296"/>
      <c r="H28" s="296"/>
      <c r="I28" s="296"/>
      <c r="J28" s="296"/>
    </row>
    <row r="29" spans="2:10" ht="18.75">
      <c r="B29" s="294" t="s">
        <v>325</v>
      </c>
      <c r="C29" s="296"/>
      <c r="D29" s="296"/>
      <c r="E29" s="296"/>
      <c r="F29" s="296"/>
      <c r="G29" s="296"/>
      <c r="H29" s="296"/>
      <c r="I29" s="296"/>
      <c r="J29" s="296"/>
    </row>
    <row r="30" spans="2:10">
      <c r="B30" s="296" t="s">
        <v>52</v>
      </c>
      <c r="C30" s="293"/>
      <c r="D30" s="293"/>
      <c r="E30" s="293"/>
      <c r="F30" s="293"/>
      <c r="G30" s="293"/>
      <c r="H30" s="293"/>
      <c r="I30" s="293"/>
      <c r="J30" s="293"/>
    </row>
    <row r="31" spans="2:10">
      <c r="B31" s="296"/>
      <c r="C31" s="296"/>
      <c r="D31" s="296"/>
      <c r="E31" s="296"/>
      <c r="F31" s="296"/>
      <c r="G31" s="296"/>
      <c r="H31" s="296"/>
      <c r="I31" s="296"/>
      <c r="J31" s="296"/>
    </row>
    <row r="32" spans="2:10">
      <c r="B32" s="296"/>
      <c r="C32" s="296"/>
      <c r="D32" s="296"/>
      <c r="E32" s="296"/>
      <c r="F32" s="296"/>
      <c r="G32" s="296"/>
      <c r="H32" s="296"/>
      <c r="I32" s="296"/>
      <c r="J32" s="296"/>
    </row>
  </sheetData>
  <sheetProtection password="C767" sheet="1" scenarios="1" selectLockedCells="1"/>
  <mergeCells count="2">
    <mergeCell ref="B2:J2"/>
    <mergeCell ref="B6:J6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alc1_1"/>
  <dimension ref="B1:L27"/>
  <sheetViews>
    <sheetView showGridLines="0" zoomScaleNormal="100" workbookViewId="0">
      <selection activeCell="C12" sqref="C12"/>
    </sheetView>
  </sheetViews>
  <sheetFormatPr defaultColWidth="9.140625" defaultRowHeight="15"/>
  <cols>
    <col min="1" max="1" width="9.42578125" style="246" customWidth="1"/>
    <col min="2" max="2" width="68" style="246" customWidth="1"/>
    <col min="3" max="3" width="29.42578125" style="246" customWidth="1"/>
    <col min="4" max="4" width="14.42578125" style="247" hidden="1" customWidth="1"/>
    <col min="5" max="5" width="40.5703125" style="246" hidden="1" customWidth="1"/>
    <col min="6" max="6" width="22.42578125" style="246" hidden="1" customWidth="1"/>
    <col min="7" max="7" width="121.5703125" style="246" hidden="1" customWidth="1"/>
    <col min="8" max="8" width="6.5703125" style="246" customWidth="1"/>
    <col min="9" max="9" width="11.42578125" style="246" customWidth="1"/>
    <col min="10" max="10" width="13.42578125" style="246" customWidth="1"/>
    <col min="11" max="11" width="12.85546875" style="246" customWidth="1"/>
    <col min="12" max="12" width="13" style="246" customWidth="1"/>
    <col min="13" max="13" width="17" style="246" customWidth="1"/>
    <col min="14" max="14" width="9.140625" style="246" customWidth="1"/>
    <col min="15" max="15" width="37.42578125" style="246" customWidth="1"/>
    <col min="16" max="16" width="22.42578125" style="246" customWidth="1"/>
    <col min="17" max="31" width="9.140625" style="246" customWidth="1"/>
    <col min="32" max="16384" width="9.140625" style="246"/>
  </cols>
  <sheetData>
    <row r="1" spans="2:9" ht="18.75">
      <c r="B1" s="325" t="s">
        <v>284</v>
      </c>
      <c r="I1" s="274"/>
    </row>
    <row r="2" spans="2:9" ht="18.75">
      <c r="B2" s="258"/>
      <c r="E2" s="255" t="s">
        <v>283</v>
      </c>
    </row>
    <row r="3" spans="2:9">
      <c r="B3" s="299" t="s">
        <v>107</v>
      </c>
      <c r="C3" s="300">
        <v>34</v>
      </c>
      <c r="E3" s="257" t="s">
        <v>282</v>
      </c>
      <c r="F3" s="257" t="s">
        <v>281</v>
      </c>
      <c r="G3" s="257" t="s">
        <v>280</v>
      </c>
    </row>
    <row r="4" spans="2:9">
      <c r="B4" s="299" t="s">
        <v>279</v>
      </c>
      <c r="C4" s="300" t="s">
        <v>267</v>
      </c>
      <c r="E4" s="268" t="s">
        <v>75</v>
      </c>
      <c r="F4" s="268">
        <f>VLOOKUP(C3,Подбор_Тарифы!A4:C9,3,1)</f>
        <v>10</v>
      </c>
      <c r="G4" s="268" t="s">
        <v>278</v>
      </c>
    </row>
    <row r="5" spans="2:9">
      <c r="B5" s="299" t="s">
        <v>315</v>
      </c>
      <c r="C5" s="301">
        <v>1000000</v>
      </c>
      <c r="E5" s="268" t="s">
        <v>2</v>
      </c>
      <c r="F5" s="268">
        <f>VLOOKUP(C3,Подбор_Тарифы!A15:C16,3,1)</f>
        <v>5</v>
      </c>
      <c r="G5" s="268" t="s">
        <v>278</v>
      </c>
    </row>
    <row r="6" spans="2:9">
      <c r="B6" s="299" t="s">
        <v>316</v>
      </c>
      <c r="C6" s="301">
        <v>1000000</v>
      </c>
      <c r="E6" s="256"/>
      <c r="F6" s="270"/>
      <c r="G6" s="256"/>
    </row>
    <row r="7" spans="2:9">
      <c r="B7" s="299" t="s">
        <v>629</v>
      </c>
      <c r="C7" s="301">
        <v>1000000</v>
      </c>
      <c r="E7" s="256"/>
      <c r="F7" s="270"/>
      <c r="G7" s="256"/>
    </row>
    <row r="8" spans="2:9">
      <c r="B8" s="302" t="s">
        <v>630</v>
      </c>
      <c r="C8" s="301">
        <v>1000000</v>
      </c>
      <c r="E8" s="256"/>
      <c r="F8" s="270"/>
      <c r="G8" s="256"/>
    </row>
    <row r="9" spans="2:9">
      <c r="B9" s="302" t="s">
        <v>277</v>
      </c>
      <c r="C9" s="303">
        <f>AVERAGE(C5:C8)</f>
        <v>1000000</v>
      </c>
      <c r="E9" s="256"/>
      <c r="F9" s="270"/>
      <c r="G9" s="256"/>
    </row>
    <row r="10" spans="2:9" ht="27.75">
      <c r="B10" s="302" t="s">
        <v>328</v>
      </c>
      <c r="C10" s="301">
        <v>1000000</v>
      </c>
      <c r="E10" s="256"/>
      <c r="F10" s="270"/>
      <c r="G10" s="256"/>
    </row>
    <row r="11" spans="2:9">
      <c r="B11" s="302" t="s">
        <v>276</v>
      </c>
      <c r="C11" s="300" t="s">
        <v>267</v>
      </c>
      <c r="E11" s="256"/>
      <c r="F11" s="270"/>
      <c r="G11" s="256"/>
    </row>
    <row r="12" spans="2:9" ht="27.75">
      <c r="B12" s="302" t="s">
        <v>329</v>
      </c>
      <c r="C12" s="300"/>
      <c r="E12" s="256" t="s">
        <v>274</v>
      </c>
      <c r="F12" s="270">
        <f>IF(C11="Да",3,IF(C11="Нет",VLOOKUP(C12,Подбор_Тарифы!B28:C33,2,0),1))</f>
        <v>3</v>
      </c>
      <c r="G12" s="256" t="s">
        <v>273</v>
      </c>
    </row>
    <row r="13" spans="2:9">
      <c r="B13" s="299" t="s">
        <v>272</v>
      </c>
      <c r="C13" s="300">
        <v>1</v>
      </c>
      <c r="E13" s="256" t="s">
        <v>270</v>
      </c>
      <c r="F13" s="270">
        <f>VLOOKUP(C13,Подбор_Тарифы!B21:C24,2,0)</f>
        <v>1.25</v>
      </c>
      <c r="G13" s="256" t="s">
        <v>269</v>
      </c>
    </row>
    <row r="14" spans="2:9" ht="30">
      <c r="B14" s="298" t="s">
        <v>268</v>
      </c>
      <c r="C14" s="300" t="s">
        <v>155</v>
      </c>
      <c r="E14" s="256" t="s">
        <v>266</v>
      </c>
      <c r="F14" s="270">
        <f>IF(C14="Да",1.3,1)</f>
        <v>1</v>
      </c>
      <c r="G14" s="256" t="s">
        <v>265</v>
      </c>
    </row>
    <row r="15" spans="2:9" s="254" customFormat="1">
      <c r="B15" s="304"/>
      <c r="C15" s="305"/>
      <c r="D15" s="247"/>
    </row>
    <row r="16" spans="2:9" s="254" customFormat="1" ht="15.75">
      <c r="B16" s="304"/>
      <c r="C16" s="305"/>
      <c r="D16" s="247"/>
      <c r="E16" s="255" t="s">
        <v>264</v>
      </c>
      <c r="F16" s="246"/>
    </row>
    <row r="17" spans="2:12" ht="18.75">
      <c r="B17" s="306" t="s">
        <v>263</v>
      </c>
      <c r="C17" s="307">
        <f>ROUND(MIN(IF(C4="Нет",1000000,C9*PRODUCT(F6:F14)+C10),F17),-5)</f>
        <v>4800000</v>
      </c>
      <c r="D17" s="253">
        <f>MIN(IF(C4="Нет",1000000,C9*F13*F14*F12+C10),F17)</f>
        <v>4750000</v>
      </c>
      <c r="E17" s="251" t="s">
        <v>262</v>
      </c>
      <c r="F17" s="269">
        <f>IF(C4="Да",C9*F4,IF(C4="Работающий студент",C9*10,1000000))</f>
        <v>10000000</v>
      </c>
      <c r="L17" s="252"/>
    </row>
    <row r="18" spans="2:12" ht="18.75">
      <c r="B18" s="306" t="s">
        <v>261</v>
      </c>
      <c r="C18" s="307" t="str">
        <f>IF(OR(D18=4,D18=3,D18=2,D18=24,D18=23,D18=22),D18&amp;" года",IF(OR(D18=1,D18=21),D18&amp;" год",D18&amp;" лет"))</f>
        <v>15 лет</v>
      </c>
      <c r="D18" s="247">
        <f>IF(C3&gt;70,MAX(75-C3,0),MIN(MAX(5,60-C3),15))</f>
        <v>15</v>
      </c>
      <c r="E18" s="251" t="s">
        <v>2</v>
      </c>
      <c r="F18" s="269">
        <f>IF(C4="Да",C9*F5,IF(C4="Работающий студент",C9*5,1000000))</f>
        <v>5000000</v>
      </c>
    </row>
    <row r="19" spans="2:12">
      <c r="C19" s="248"/>
    </row>
    <row r="20" spans="2:12">
      <c r="E20" s="249"/>
      <c r="F20" s="249"/>
      <c r="G20" s="249"/>
    </row>
    <row r="21" spans="2:12">
      <c r="E21" s="249"/>
      <c r="F21" s="249"/>
      <c r="G21" s="249"/>
    </row>
    <row r="22" spans="2:12">
      <c r="B22" s="250"/>
      <c r="C22" s="249"/>
    </row>
    <row r="23" spans="2:12">
      <c r="B23" s="250"/>
      <c r="C23" s="249"/>
    </row>
    <row r="27" spans="2:12">
      <c r="C27" s="248"/>
    </row>
  </sheetData>
  <sheetProtection password="C767" sheet="1" scenarios="1" selectLockedCell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Подбор_Тарифы!$L$4:$L$5</xm:f>
          </x14:formula1>
          <xm:sqref>C15:C16</xm:sqref>
        </x14:dataValidation>
        <x14:dataValidation type="list" allowBlank="1" showInputMessage="1" showErrorMessage="1" xr:uid="{00000000-0002-0000-0100-000001000000}">
          <x14:formula1>
            <xm:f>Подбор_Тарифы!$B$28:$B$33</xm:f>
          </x14:formula1>
          <xm:sqref>C12</xm:sqref>
        </x14:dataValidation>
        <x14:dataValidation type="list" allowBlank="1" showInputMessage="1" showErrorMessage="1" xr:uid="{00000000-0002-0000-0100-000002000000}">
          <x14:formula1>
            <xm:f>Подбор_Тарифы!$J$4:$J$6</xm:f>
          </x14:formula1>
          <xm:sqref>C11</xm:sqref>
        </x14:dataValidation>
        <x14:dataValidation type="list" allowBlank="1" showInputMessage="1" showErrorMessage="1" xr:uid="{00000000-0002-0000-0100-000003000000}">
          <x14:formula1>
            <xm:f>Подбор_Тарифы!$K$4:$K$5</xm:f>
          </x14:formula1>
          <xm:sqref>C14</xm:sqref>
        </x14:dataValidation>
        <x14:dataValidation type="list" allowBlank="1" showInputMessage="1" showErrorMessage="1" xr:uid="{00000000-0002-0000-0100-000004000000}">
          <x14:formula1>
            <xm:f>Подбор_Тарифы!$B$21:$B$24</xm:f>
          </x14:formula1>
          <xm:sqref>C13</xm:sqref>
        </x14:dataValidation>
        <x14:dataValidation type="list" allowBlank="1" showInputMessage="1" showErrorMessage="1" xr:uid="{00000000-0002-0000-0100-000005000000}">
          <x14:formula1>
            <xm:f>Подбор_Тарифы!$G$4:$G$6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alc1_2">
    <tabColor rgb="FFFFBDD1"/>
  </sheetPr>
  <dimension ref="A2:L33"/>
  <sheetViews>
    <sheetView workbookViewId="0">
      <selection activeCell="D11" sqref="D11"/>
    </sheetView>
  </sheetViews>
  <sheetFormatPr defaultColWidth="9.140625" defaultRowHeight="15"/>
  <cols>
    <col min="1" max="1" width="9.140625" style="246"/>
    <col min="2" max="2" width="28.42578125" style="246" customWidth="1"/>
    <col min="3" max="3" width="44.42578125" style="246" customWidth="1"/>
    <col min="4" max="6" width="9.140625" style="246"/>
    <col min="7" max="7" width="39.85546875" style="246" bestFit="1" customWidth="1"/>
    <col min="8" max="8" width="13" style="246" customWidth="1"/>
    <col min="9" max="9" width="21.85546875" style="246" bestFit="1" customWidth="1"/>
    <col min="10" max="10" width="26.42578125" style="246" customWidth="1"/>
    <col min="11" max="11" width="25.140625" style="246" bestFit="1" customWidth="1"/>
    <col min="12" max="12" width="12.5703125" style="246" bestFit="1" customWidth="1"/>
    <col min="13" max="13" width="20.5703125" style="246" bestFit="1" customWidth="1"/>
    <col min="14" max="14" width="23" style="246" bestFit="1" customWidth="1"/>
    <col min="15" max="16384" width="9.140625" style="246"/>
  </cols>
  <sheetData>
    <row r="2" spans="1:12" ht="15.75" thickBot="1">
      <c r="B2" s="267" t="s">
        <v>75</v>
      </c>
      <c r="C2" s="264"/>
    </row>
    <row r="3" spans="1:12" ht="30.75" thickBot="1">
      <c r="B3" s="261" t="s">
        <v>296</v>
      </c>
      <c r="C3" s="263" t="s">
        <v>295</v>
      </c>
      <c r="G3" s="246" t="s">
        <v>313</v>
      </c>
      <c r="H3" s="246" t="s">
        <v>38</v>
      </c>
      <c r="I3" s="246" t="s">
        <v>312</v>
      </c>
      <c r="J3" s="246" t="s">
        <v>274</v>
      </c>
      <c r="K3" s="246" t="s">
        <v>311</v>
      </c>
      <c r="L3" s="246" t="s">
        <v>310</v>
      </c>
    </row>
    <row r="4" spans="1:12" ht="15.75" thickBot="1">
      <c r="A4" s="246">
        <v>0</v>
      </c>
      <c r="B4" s="260" t="s">
        <v>309</v>
      </c>
      <c r="C4" s="259">
        <v>10</v>
      </c>
      <c r="G4" s="246" t="s">
        <v>267</v>
      </c>
      <c r="H4" s="246" t="s">
        <v>308</v>
      </c>
      <c r="I4" s="246" t="s">
        <v>307</v>
      </c>
      <c r="J4" s="246" t="s">
        <v>267</v>
      </c>
      <c r="K4" s="246" t="s">
        <v>267</v>
      </c>
      <c r="L4" s="246" t="s">
        <v>267</v>
      </c>
    </row>
    <row r="5" spans="1:12" ht="15.75" thickBot="1">
      <c r="A5" s="246">
        <v>35</v>
      </c>
      <c r="B5" s="260" t="s">
        <v>306</v>
      </c>
      <c r="C5" s="259">
        <v>8</v>
      </c>
      <c r="G5" s="246" t="s">
        <v>155</v>
      </c>
      <c r="H5" s="246" t="s">
        <v>305</v>
      </c>
      <c r="I5" s="246" t="s">
        <v>304</v>
      </c>
      <c r="J5" s="246" t="s">
        <v>155</v>
      </c>
      <c r="K5" s="246" t="s">
        <v>155</v>
      </c>
      <c r="L5" s="246" t="s">
        <v>155</v>
      </c>
    </row>
    <row r="6" spans="1:12" ht="15.75" thickBot="1">
      <c r="A6" s="246">
        <v>45</v>
      </c>
      <c r="B6" s="260" t="s">
        <v>303</v>
      </c>
      <c r="C6" s="259">
        <v>7</v>
      </c>
      <c r="G6" s="246" t="s">
        <v>302</v>
      </c>
      <c r="J6" s="246" t="s">
        <v>301</v>
      </c>
    </row>
    <row r="7" spans="1:12" ht="15.75" thickBot="1">
      <c r="A7" s="246">
        <v>50</v>
      </c>
      <c r="B7" s="260" t="s">
        <v>300</v>
      </c>
      <c r="C7" s="259">
        <v>6</v>
      </c>
    </row>
    <row r="8" spans="1:12" ht="15.75" thickBot="1">
      <c r="A8" s="246">
        <v>55</v>
      </c>
      <c r="B8" s="260" t="s">
        <v>299</v>
      </c>
      <c r="C8" s="259">
        <v>5</v>
      </c>
    </row>
    <row r="9" spans="1:12" ht="15.75" thickBot="1">
      <c r="A9" s="246">
        <v>60</v>
      </c>
      <c r="B9" s="260" t="s">
        <v>298</v>
      </c>
      <c r="C9" s="259">
        <v>3</v>
      </c>
    </row>
    <row r="10" spans="1:12">
      <c r="B10" s="266"/>
      <c r="C10" s="265"/>
    </row>
    <row r="11" spans="1:12" ht="160.5" customHeight="1">
      <c r="B11" s="421" t="s">
        <v>297</v>
      </c>
      <c r="C11" s="422"/>
    </row>
    <row r="12" spans="1:12">
      <c r="B12" s="264"/>
      <c r="C12" s="264"/>
    </row>
    <row r="13" spans="1:12" ht="15.75" thickBot="1">
      <c r="B13" s="262" t="s">
        <v>216</v>
      </c>
      <c r="C13" s="264"/>
    </row>
    <row r="14" spans="1:12" ht="30.75" thickBot="1">
      <c r="B14" s="261" t="s">
        <v>296</v>
      </c>
      <c r="C14" s="263" t="s">
        <v>295</v>
      </c>
    </row>
    <row r="15" spans="1:12" ht="15.75" thickBot="1">
      <c r="A15" s="246">
        <v>0</v>
      </c>
      <c r="B15" s="260" t="s">
        <v>294</v>
      </c>
      <c r="C15" s="259">
        <v>5</v>
      </c>
    </row>
    <row r="16" spans="1:12" ht="15.75" thickBot="1">
      <c r="A16" s="246">
        <v>60</v>
      </c>
      <c r="B16" s="260" t="s">
        <v>293</v>
      </c>
      <c r="C16" s="259">
        <v>3</v>
      </c>
    </row>
    <row r="17" spans="1:3">
      <c r="B17" s="264"/>
      <c r="C17" s="264"/>
    </row>
    <row r="19" spans="1:3" ht="15.75" thickBot="1">
      <c r="B19" s="262" t="s">
        <v>292</v>
      </c>
    </row>
    <row r="20" spans="1:3" ht="15.75" thickBot="1">
      <c r="B20" s="261" t="s">
        <v>291</v>
      </c>
      <c r="C20" s="263" t="s">
        <v>281</v>
      </c>
    </row>
    <row r="21" spans="1:3" ht="15.75" thickBot="1">
      <c r="A21" s="246">
        <v>0</v>
      </c>
      <c r="B21" s="260">
        <v>0</v>
      </c>
      <c r="C21" s="259">
        <f>1</f>
        <v>1</v>
      </c>
    </row>
    <row r="22" spans="1:3" ht="15.75" thickBot="1">
      <c r="A22" s="246">
        <v>1</v>
      </c>
      <c r="B22" s="260">
        <v>1</v>
      </c>
      <c r="C22" s="259">
        <f>C21*(1+0.25/A22)</f>
        <v>1.25</v>
      </c>
    </row>
    <row r="23" spans="1:3" ht="15.75" thickBot="1">
      <c r="A23" s="246">
        <v>2</v>
      </c>
      <c r="B23" s="260">
        <v>2</v>
      </c>
      <c r="C23" s="259">
        <f>C22*(1+0.25/A23)</f>
        <v>1.40625</v>
      </c>
    </row>
    <row r="24" spans="1:3" ht="15.75" thickBot="1">
      <c r="A24" s="246">
        <v>3</v>
      </c>
      <c r="B24" s="260" t="s">
        <v>271</v>
      </c>
      <c r="C24" s="259">
        <f>C23*(1+0.25/A24)</f>
        <v>1.5234375</v>
      </c>
    </row>
    <row r="26" spans="1:3" ht="15.75" thickBot="1">
      <c r="B26" s="262" t="s">
        <v>274</v>
      </c>
    </row>
    <row r="27" spans="1:3" ht="15.75" thickBot="1">
      <c r="B27" s="261" t="s">
        <v>290</v>
      </c>
      <c r="C27" s="261" t="s">
        <v>281</v>
      </c>
    </row>
    <row r="28" spans="1:3" ht="15.75" thickBot="1">
      <c r="A28" s="246">
        <v>0</v>
      </c>
      <c r="B28" s="260" t="s">
        <v>289</v>
      </c>
      <c r="C28" s="259">
        <v>1</v>
      </c>
    </row>
    <row r="29" spans="1:3" ht="15.75" thickBot="1">
      <c r="A29" s="246">
        <v>10</v>
      </c>
      <c r="B29" s="260" t="s">
        <v>288</v>
      </c>
      <c r="C29" s="259">
        <f>C28+(3-$C$28)/5</f>
        <v>1.4</v>
      </c>
    </row>
    <row r="30" spans="1:3" ht="15.75" thickBot="1">
      <c r="A30" s="246">
        <v>25</v>
      </c>
      <c r="B30" s="260" t="s">
        <v>275</v>
      </c>
      <c r="C30" s="259">
        <f>C29+(3-$C$28)/5</f>
        <v>1.7999999999999998</v>
      </c>
    </row>
    <row r="31" spans="1:3" ht="15.75" thickBot="1">
      <c r="A31" s="246">
        <v>50</v>
      </c>
      <c r="B31" s="260" t="s">
        <v>287</v>
      </c>
      <c r="C31" s="259">
        <f>C30+(3-$C$28)/5</f>
        <v>2.1999999999999997</v>
      </c>
    </row>
    <row r="32" spans="1:3" ht="15.75" thickBot="1">
      <c r="A32" s="246">
        <v>75</v>
      </c>
      <c r="B32" s="260" t="s">
        <v>286</v>
      </c>
      <c r="C32" s="259">
        <f>C31+(3-$C$28)/5</f>
        <v>2.5999999999999996</v>
      </c>
    </row>
    <row r="33" spans="1:3" ht="15.75" thickBot="1">
      <c r="A33" s="246">
        <v>90</v>
      </c>
      <c r="B33" s="260" t="s">
        <v>285</v>
      </c>
      <c r="C33" s="259">
        <f>C32+(3-$C$28)/5</f>
        <v>2.9999999999999996</v>
      </c>
    </row>
  </sheetData>
  <mergeCells count="1">
    <mergeCell ref="B11:C11"/>
  </mergeCell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CL">
    <tabColor rgb="FF990032"/>
  </sheetPr>
  <dimension ref="A1:AC42"/>
  <sheetViews>
    <sheetView showGridLines="0" zoomScaleNormal="100" workbookViewId="0"/>
  </sheetViews>
  <sheetFormatPr defaultColWidth="9.140625" defaultRowHeight="15"/>
  <cols>
    <col min="1" max="1" width="5.42578125" style="5" customWidth="1"/>
    <col min="2" max="5" width="8.5703125" style="5" customWidth="1"/>
    <col min="6" max="6" width="5.42578125" style="5" customWidth="1"/>
    <col min="7" max="7" width="5" style="5" customWidth="1"/>
    <col min="8" max="8" width="2.85546875" style="5" customWidth="1"/>
    <col min="9" max="9" width="2.140625" style="5" customWidth="1"/>
    <col min="10" max="10" width="1.42578125" style="5" customWidth="1"/>
    <col min="11" max="11" width="38" style="5" customWidth="1"/>
    <col min="12" max="12" width="1.42578125" style="5" customWidth="1"/>
    <col min="13" max="13" width="10" style="337" customWidth="1"/>
    <col min="14" max="19" width="9.140625" style="5"/>
    <col min="20" max="20" width="15.42578125" style="5" customWidth="1"/>
    <col min="21" max="21" width="30.42578125" style="5" customWidth="1"/>
    <col min="22" max="16384" width="9.140625" style="5"/>
  </cols>
  <sheetData>
    <row r="1" spans="1:29">
      <c r="A1" s="43"/>
    </row>
    <row r="2" spans="1:29">
      <c r="K2" s="6"/>
    </row>
    <row r="3" spans="1:29" ht="16.5" customHeight="1">
      <c r="K3" s="6"/>
    </row>
    <row r="4" spans="1:29">
      <c r="B4" s="423" t="str">
        <f ca="1">IF(Н_Статус = "Блокирован", "СРОК ДЕЙСТВИЯ ДАННОЙ ВЕРСИИ КАЛЬКУЛЯТОРА ИСТЕК", "")</f>
        <v/>
      </c>
      <c r="C4" s="423"/>
      <c r="D4" s="423"/>
      <c r="E4" s="423"/>
      <c r="F4" s="423"/>
      <c r="G4" s="423"/>
      <c r="H4" s="423"/>
      <c r="I4" s="423"/>
      <c r="J4" s="423"/>
      <c r="K4" s="423"/>
    </row>
    <row r="5" spans="1:29" ht="24" hidden="1" customHeight="1">
      <c r="A5" s="7"/>
      <c r="M5" s="338" t="str">
        <f ca="1" xml:space="preserve"> IF(Н_Статус = "Блокирован", "#", "")</f>
        <v/>
      </c>
    </row>
    <row r="6" spans="1:29" ht="39.75" customHeight="1">
      <c r="A6" s="8"/>
      <c r="B6" s="431" t="s">
        <v>626</v>
      </c>
      <c r="C6" s="431"/>
      <c r="D6" s="431"/>
      <c r="E6" s="431"/>
      <c r="F6" s="431"/>
      <c r="G6" s="431"/>
      <c r="H6" s="37"/>
      <c r="I6" s="37"/>
    </row>
    <row r="7" spans="1:29" ht="15.75">
      <c r="A7" s="9"/>
      <c r="B7" s="426" t="s">
        <v>8</v>
      </c>
      <c r="C7" s="426"/>
      <c r="D7" s="426"/>
      <c r="E7" s="426"/>
      <c r="F7" s="426"/>
      <c r="G7" s="426"/>
      <c r="H7" s="426"/>
      <c r="I7" s="426"/>
      <c r="J7" s="326"/>
      <c r="K7" s="327">
        <f ca="1" xml:space="preserve"> TODAY()</f>
        <v>45813</v>
      </c>
      <c r="L7" s="328"/>
      <c r="M7" s="337" t="str">
        <f ca="1" xml:space="preserve"> IF($K$7 = "", "#Ошибка! Обязательно к заполнению", "")</f>
        <v/>
      </c>
    </row>
    <row r="8" spans="1:29" ht="15.75">
      <c r="A8" s="9"/>
      <c r="B8" s="424" t="s">
        <v>1</v>
      </c>
      <c r="C8" s="424"/>
      <c r="D8" s="424"/>
      <c r="E8" s="424"/>
      <c r="F8" s="424"/>
      <c r="G8" s="424"/>
      <c r="H8" s="424"/>
      <c r="I8" s="424"/>
      <c r="J8" s="329"/>
      <c r="K8" s="330" t="s">
        <v>26</v>
      </c>
      <c r="L8" s="328"/>
    </row>
    <row r="9" spans="1:29" ht="15.75">
      <c r="A9" s="9"/>
      <c r="B9" s="425" t="s">
        <v>27</v>
      </c>
      <c r="C9" s="425"/>
      <c r="D9" s="425"/>
      <c r="E9" s="425"/>
      <c r="F9" s="425"/>
      <c r="G9" s="425"/>
      <c r="H9" s="425"/>
      <c r="I9" s="425"/>
      <c r="J9" s="340"/>
      <c r="K9" s="331" t="s">
        <v>632</v>
      </c>
      <c r="O9" s="217"/>
    </row>
    <row r="10" spans="1:29" ht="15.75">
      <c r="A10" s="9"/>
      <c r="B10" s="425" t="s">
        <v>330</v>
      </c>
      <c r="C10" s="425"/>
      <c r="D10" s="425"/>
      <c r="E10" s="425"/>
      <c r="F10" s="425"/>
      <c r="G10" s="425"/>
      <c r="H10" s="425"/>
      <c r="I10" s="425"/>
      <c r="J10" s="340"/>
      <c r="K10" s="331">
        <v>5</v>
      </c>
      <c r="M10" s="337" t="str">
        <f xml:space="preserve"> IF($K$10 = "", "#Ошибка! Обязательно к заполнению",
   "")</f>
        <v/>
      </c>
      <c r="O10" s="217"/>
    </row>
    <row r="11" spans="1:29" ht="15.75">
      <c r="A11" s="9"/>
      <c r="B11" s="428" t="s">
        <v>331</v>
      </c>
      <c r="C11" s="428"/>
      <c r="D11" s="428"/>
      <c r="E11" s="428"/>
      <c r="F11" s="428"/>
      <c r="G11" s="428"/>
      <c r="H11" s="428"/>
      <c r="I11" s="428"/>
      <c r="J11" s="341"/>
      <c r="K11" s="332">
        <v>1500000</v>
      </c>
      <c r="M11" s="337" t="str">
        <f ca="1" xml:space="preserve"> IF($K$11 = "",                                                                 "#Ошибка! Обязательно к заполнению",
   IF($K$11 &lt; 1000000,                                                       "#Ошибка! Страховая сумма меньше 1 000 000 руб",
   IF($K$18 &lt;= 65,
          IF(AND($K$11 &gt; 10500000, $K$11 &lt; 15000000),         "Потребуется прохождение предстрахового мед. обследования",
          IF(AND($K$11 &gt; 15000000),                                       "Потребуется прохождение предстрахового мед. обследования и предоставление дополнительной финансовой информации",
          "")),
   IF($K$18 &gt; 65,
          IF(AND($K$11 &gt; 5000000, $K$11 &lt; 10500000),         "Потребуется прохождение предстрахового мед. обследования",
          IF(AND($K$11 &gt;10500000),                                     "Потребуется прохождение предстрахового мед. обследования и предоставление дополнительной финансовой информации",
          "")),
   ""))))</f>
        <v/>
      </c>
      <c r="N11" s="45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</row>
    <row r="12" spans="1:29" ht="15.75">
      <c r="A12" s="9"/>
      <c r="B12" s="430" t="s">
        <v>341</v>
      </c>
      <c r="C12" s="430"/>
      <c r="D12" s="430"/>
      <c r="E12" s="430"/>
      <c r="F12" s="430"/>
      <c r="G12" s="430"/>
      <c r="H12" s="430"/>
      <c r="I12" s="430"/>
      <c r="J12" s="363"/>
      <c r="K12" s="332" t="s">
        <v>614</v>
      </c>
      <c r="N12" s="45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</row>
    <row r="13" spans="1:29">
      <c r="B13" s="308"/>
      <c r="C13" s="308"/>
      <c r="D13" s="308"/>
      <c r="E13" s="308"/>
      <c r="F13" s="308"/>
      <c r="G13" s="308"/>
      <c r="H13" s="308"/>
      <c r="I13" s="308"/>
      <c r="J13" s="308"/>
      <c r="K13" s="309"/>
      <c r="O13" s="46"/>
    </row>
    <row r="14" spans="1:29" ht="15.75">
      <c r="A14" s="32"/>
      <c r="B14" s="429" t="s">
        <v>40</v>
      </c>
      <c r="C14" s="429"/>
      <c r="D14" s="429"/>
      <c r="E14" s="324"/>
      <c r="F14" s="324"/>
      <c r="G14" s="324"/>
      <c r="H14" s="324"/>
      <c r="I14" s="324"/>
      <c r="J14" s="311"/>
      <c r="K14" s="308"/>
      <c r="L14" s="33"/>
      <c r="M14" s="339"/>
    </row>
    <row r="15" spans="1:29" ht="15.75">
      <c r="A15" s="9"/>
      <c r="B15" s="427" t="s">
        <v>46</v>
      </c>
      <c r="C15" s="427"/>
      <c r="D15" s="427"/>
      <c r="E15" s="427"/>
      <c r="F15" s="427"/>
      <c r="G15" s="427"/>
      <c r="H15" s="427"/>
      <c r="I15" s="427"/>
      <c r="J15" s="340"/>
      <c r="K15" s="333" t="s">
        <v>320</v>
      </c>
      <c r="M15" s="337" t="str">
        <f xml:space="preserve"> IF($K$15 = "", "#Ошибка! Обязательно к заполнению", "")</f>
        <v/>
      </c>
    </row>
    <row r="16" spans="1:29" ht="15.75">
      <c r="A16" s="9"/>
      <c r="B16" s="425" t="s">
        <v>38</v>
      </c>
      <c r="C16" s="425"/>
      <c r="D16" s="425"/>
      <c r="E16" s="425"/>
      <c r="F16" s="425"/>
      <c r="G16" s="425"/>
      <c r="H16" s="425"/>
      <c r="I16" s="425"/>
      <c r="J16" s="340"/>
      <c r="K16" s="334" t="s">
        <v>308</v>
      </c>
      <c r="M16" s="337" t="str">
        <f xml:space="preserve"> IF($K$16 = "", "#Ошибка! Обязательно к заполнению", "")</f>
        <v/>
      </c>
    </row>
    <row r="17" spans="1:21" ht="15.75">
      <c r="A17" s="9"/>
      <c r="B17" s="427" t="s">
        <v>39</v>
      </c>
      <c r="C17" s="427"/>
      <c r="D17" s="427"/>
      <c r="E17" s="427"/>
      <c r="F17" s="427"/>
      <c r="G17" s="427"/>
      <c r="H17" s="427"/>
      <c r="I17" s="427"/>
      <c r="J17" s="342"/>
      <c r="K17" s="335" t="s">
        <v>634</v>
      </c>
      <c r="M17" s="337" t="str">
        <f xml:space="preserve"> IF($K$17 &lt;&gt; "", "",
   IF($K$18 &gt; 0, "#Ошибка! Обязательно к заполнению",
   "#Ошибка! Обязательно к заполнению"))</f>
        <v/>
      </c>
      <c r="N17" s="217"/>
    </row>
    <row r="18" spans="1:21" ht="15.75">
      <c r="A18" s="9"/>
      <c r="B18" s="425" t="s">
        <v>332</v>
      </c>
      <c r="C18" s="425"/>
      <c r="D18" s="425"/>
      <c r="E18" s="425"/>
      <c r="F18" s="425"/>
      <c r="G18" s="425"/>
      <c r="H18" s="425"/>
      <c r="I18" s="425"/>
      <c r="J18" s="322"/>
      <c r="K18" s="344">
        <f ca="1" xml:space="preserve"> IF($K$17 = "",
         'Подбор суммы'!$C$3,
         DATEDIF($K$17, TODAY(),"y")
   )</f>
        <v>34</v>
      </c>
      <c r="M18" s="337" t="str">
        <f ca="1" xml:space="preserve"> IF($K$17 = "", "",
   IF(OR($K$18 &lt; 18, $K$18 &gt; 70), "#Ошибка! Возраст застрахованного за пределами допустимых 18 - 70 лет",
   IF(OR($K$19 &gt; 75),                     "#Ошибка! Возраст застрахованного на дату окончания превышает 75 лет",
   "")))</f>
        <v/>
      </c>
      <c r="N18" s="217"/>
      <c r="S18" s="46"/>
    </row>
    <row r="19" spans="1:21" ht="15.75" hidden="1" customHeight="1">
      <c r="A19" s="9"/>
      <c r="B19" s="434" t="s">
        <v>333</v>
      </c>
      <c r="C19" s="434"/>
      <c r="D19" s="434"/>
      <c r="E19" s="434"/>
      <c r="F19" s="434"/>
      <c r="G19" s="434"/>
      <c r="H19" s="434"/>
      <c r="I19" s="434"/>
      <c r="J19" s="343"/>
      <c r="K19" s="312">
        <f ca="1" xml:space="preserve"> IF($K$17 &lt;&gt; "", DATEDIF($K$17, TODAY(),"y") +$K$10, 0)</f>
        <v>39</v>
      </c>
      <c r="M19" s="337" t="str">
        <f xml:space="preserve"> IF($K$17 = "", "",
   "")</f>
        <v/>
      </c>
    </row>
    <row r="20" spans="1:21" ht="15.75">
      <c r="A20" s="9"/>
      <c r="B20" s="439" t="s">
        <v>37</v>
      </c>
      <c r="C20" s="439"/>
      <c r="D20" s="439"/>
      <c r="E20" s="439"/>
      <c r="F20" s="439"/>
      <c r="G20" s="439"/>
      <c r="H20" s="439"/>
      <c r="I20" s="439"/>
      <c r="J20" s="341"/>
      <c r="K20" s="331" t="s">
        <v>58</v>
      </c>
    </row>
    <row r="21" spans="1:21" hidden="1">
      <c r="B21" s="308"/>
      <c r="C21" s="308"/>
      <c r="D21" s="308"/>
      <c r="E21" s="308"/>
      <c r="F21" s="308"/>
      <c r="G21" s="308"/>
      <c r="H21" s="308"/>
      <c r="I21" s="308"/>
      <c r="J21" s="308"/>
      <c r="K21" s="309"/>
    </row>
    <row r="22" spans="1:21" ht="15.75" hidden="1">
      <c r="A22" s="32"/>
      <c r="B22" s="433" t="s">
        <v>41</v>
      </c>
      <c r="C22" s="433"/>
      <c r="D22" s="433"/>
      <c r="E22" s="310"/>
      <c r="F22" s="310"/>
      <c r="G22" s="310"/>
      <c r="H22" s="310"/>
      <c r="I22" s="310"/>
      <c r="J22" s="311"/>
      <c r="K22" s="313"/>
      <c r="L22" s="33"/>
      <c r="M22" s="339"/>
    </row>
    <row r="23" spans="1:21" ht="15.75" hidden="1">
      <c r="A23" s="9"/>
      <c r="B23" s="432" t="s">
        <v>38</v>
      </c>
      <c r="C23" s="432"/>
      <c r="D23" s="432"/>
      <c r="E23" s="432"/>
      <c r="F23" s="432"/>
      <c r="G23" s="432"/>
      <c r="H23" s="432"/>
      <c r="I23" s="432"/>
      <c r="J23" s="314"/>
      <c r="K23" s="315" t="str">
        <f xml:space="preserve"> IF(КЛ_ФЛАГ_СТРАХОВАТЕЛЬ = "ДА", $K$16,
   IF($K$16 = "женский", "мужской",
   "женский"))</f>
        <v>Мужской</v>
      </c>
      <c r="M23" s="337" t="str">
        <f xml:space="preserve"> IF($K$16 = "", "#Ошибка! Обязательно к заполнению", "")</f>
        <v/>
      </c>
    </row>
    <row r="24" spans="1:21" ht="15.75" hidden="1">
      <c r="A24" s="9"/>
      <c r="B24" s="437" t="s">
        <v>39</v>
      </c>
      <c r="C24" s="437"/>
      <c r="D24" s="437"/>
      <c r="E24" s="437"/>
      <c r="F24" s="437"/>
      <c r="G24" s="437"/>
      <c r="H24" s="437"/>
      <c r="I24" s="437"/>
      <c r="J24" s="316"/>
      <c r="K24" s="317" t="str">
        <f xml:space="preserve"> IF(КЛ_ФЛАГ_СТРАХОВАТЕЛЬ = "ДА", $K$17, $K$17 + 1000 - N("От балды, лишь бы отличалось"))</f>
        <v>14.06.1990</v>
      </c>
    </row>
    <row r="25" spans="1:21" ht="15.75" hidden="1">
      <c r="A25" s="9"/>
      <c r="B25" s="438" t="s">
        <v>334</v>
      </c>
      <c r="C25" s="438"/>
      <c r="D25" s="438"/>
      <c r="E25" s="438"/>
      <c r="F25" s="438"/>
      <c r="G25" s="438"/>
      <c r="H25" s="438"/>
      <c r="I25" s="438"/>
      <c r="J25" s="318"/>
      <c r="K25" s="319">
        <f ca="1" xml:space="preserve"> IF($K$24 &lt;&gt; "", DATEDIF($K$24, TODAY(),"y"), 0)</f>
        <v>34</v>
      </c>
    </row>
    <row r="26" spans="1:21">
      <c r="B26" s="308"/>
      <c r="C26" s="308"/>
      <c r="D26" s="308"/>
      <c r="E26" s="308"/>
      <c r="F26" s="308"/>
      <c r="G26" s="308"/>
      <c r="H26" s="308"/>
      <c r="I26" s="308"/>
      <c r="J26" s="308"/>
      <c r="K26" s="309"/>
      <c r="T26" s="444"/>
      <c r="U26" s="444"/>
    </row>
    <row r="27" spans="1:21" ht="18.75">
      <c r="A27" s="8"/>
      <c r="B27" s="440" t="s">
        <v>9</v>
      </c>
      <c r="C27" s="440"/>
      <c r="D27" s="440"/>
      <c r="E27" s="440"/>
      <c r="F27" s="440"/>
      <c r="G27" s="440"/>
      <c r="H27" s="440"/>
      <c r="I27" s="440"/>
      <c r="J27" s="440"/>
      <c r="K27" s="320" t="s">
        <v>29</v>
      </c>
      <c r="L27" s="44"/>
      <c r="N27" s="445"/>
      <c r="O27" s="445"/>
      <c r="P27" s="445"/>
      <c r="Q27" s="445"/>
      <c r="R27" s="445"/>
      <c r="T27" s="444"/>
      <c r="U27" s="444"/>
    </row>
    <row r="28" spans="1:21">
      <c r="B28" s="425" t="s">
        <v>246</v>
      </c>
      <c r="C28" s="425"/>
      <c r="D28" s="425"/>
      <c r="E28" s="425"/>
      <c r="F28" s="425"/>
      <c r="G28" s="425"/>
      <c r="H28" s="425"/>
      <c r="I28" s="425"/>
      <c r="J28" s="343"/>
      <c r="K28" s="336" t="s">
        <v>633</v>
      </c>
    </row>
    <row r="29" spans="1:21">
      <c r="B29" s="439" t="s">
        <v>253</v>
      </c>
      <c r="C29" s="439"/>
      <c r="D29" s="439"/>
      <c r="E29" s="439"/>
      <c r="F29" s="439"/>
      <c r="G29" s="439"/>
      <c r="H29" s="439"/>
      <c r="I29" s="439"/>
      <c r="J29" s="343"/>
      <c r="K29" s="321"/>
    </row>
    <row r="30" spans="1:21" ht="15.75" customHeight="1">
      <c r="A30" s="220"/>
      <c r="B30" s="436" t="s">
        <v>251</v>
      </c>
      <c r="C30" s="436"/>
      <c r="D30" s="436"/>
      <c r="E30" s="436"/>
      <c r="F30" s="436"/>
      <c r="G30" s="436"/>
      <c r="H30" s="436"/>
      <c r="I30" s="436"/>
      <c r="J30" s="343"/>
      <c r="K30" s="331" t="s">
        <v>633</v>
      </c>
      <c r="M30" s="337" t="str">
        <f ca="1" xml:space="preserve"> IF($K30 &lt;&gt; "ВКЛ", "",
   IF(OR($K$18 &lt; 18, $K$18 &gt; 64), "#Ошибка! Включить нельзя: Возраст застрахованного за пределами 18 - 64 лет",
   IF($K$18 + $K$10 &gt; 65,                 T(N("#Ошибка! Включить нельзя: Возраст на дату окончания превышает 65 лет")),
   "")))</f>
        <v/>
      </c>
      <c r="O30" s="219"/>
      <c r="T30" s="238"/>
      <c r="U30" s="238"/>
    </row>
    <row r="31" spans="1:21" ht="15.75" customHeight="1">
      <c r="A31" s="220"/>
      <c r="B31" s="436" t="s">
        <v>252</v>
      </c>
      <c r="C31" s="436"/>
      <c r="D31" s="436"/>
      <c r="E31" s="436"/>
      <c r="F31" s="436"/>
      <c r="G31" s="436"/>
      <c r="H31" s="436"/>
      <c r="I31" s="436"/>
      <c r="J31" s="323"/>
      <c r="K31" s="331" t="s">
        <v>62</v>
      </c>
      <c r="M31" s="337" t="str">
        <f xml:space="preserve"> IF($K31 &lt;&gt; "ВКЛ", "",
   IF(OR($K$18 &lt; 18, $K$18 &gt; 64), "#Ошибка! Включить нельзя: Возраст застрахованного за пределами 18 - 64 лет",
   IF($K$18 + $K$10 &gt; 65,                  T(N("#Ошибка! Включить нельзя: Возраст на дату окончания превышает 65 лет")),
   "")))</f>
        <v/>
      </c>
      <c r="N31" s="46"/>
      <c r="O31" s="46"/>
      <c r="P31" s="46"/>
      <c r="Q31" s="46"/>
      <c r="R31" s="46"/>
      <c r="S31" s="46"/>
      <c r="T31" s="238"/>
      <c r="U31" s="238"/>
    </row>
    <row r="32" spans="1:21">
      <c r="B32" s="435"/>
      <c r="C32" s="435"/>
      <c r="D32" s="435"/>
      <c r="E32" s="435"/>
      <c r="F32" s="435"/>
      <c r="G32" s="435"/>
      <c r="H32" s="435"/>
      <c r="I32" s="435"/>
      <c r="J32" s="435"/>
      <c r="K32" s="435"/>
    </row>
    <row r="33" spans="1:15" ht="15.75">
      <c r="A33" s="9"/>
      <c r="B33" s="429" t="s">
        <v>259</v>
      </c>
      <c r="C33" s="429"/>
      <c r="D33" s="429"/>
      <c r="E33" s="429"/>
      <c r="F33" s="429"/>
      <c r="G33" s="429"/>
      <c r="H33" s="429"/>
      <c r="I33" s="429"/>
      <c r="J33" s="429"/>
      <c r="K33" s="320"/>
    </row>
    <row r="34" spans="1:15" ht="15" customHeight="1">
      <c r="B34" s="441" t="s">
        <v>335</v>
      </c>
      <c r="C34" s="428"/>
      <c r="D34" s="428"/>
      <c r="E34" s="428"/>
      <c r="F34" s="428"/>
      <c r="G34" s="428"/>
      <c r="H34" s="428"/>
      <c r="I34" s="428"/>
      <c r="J34" s="345"/>
      <c r="K34" s="331" t="s">
        <v>633</v>
      </c>
      <c r="O34" s="217"/>
    </row>
    <row r="35" spans="1:15" ht="17.25" customHeight="1">
      <c r="B35" s="442" t="s">
        <v>336</v>
      </c>
      <c r="C35" s="442"/>
      <c r="D35" s="442"/>
      <c r="E35" s="442"/>
      <c r="F35" s="442"/>
      <c r="G35" s="442"/>
      <c r="H35" s="442"/>
      <c r="I35" s="442"/>
      <c r="J35" s="442"/>
      <c r="K35" s="442"/>
    </row>
    <row r="36" spans="1:15" ht="12.75" customHeight="1">
      <c r="B36" s="443"/>
      <c r="C36" s="443"/>
      <c r="D36" s="443"/>
      <c r="E36" s="443"/>
      <c r="F36" s="443"/>
      <c r="G36" s="443"/>
      <c r="H36" s="443"/>
      <c r="I36" s="443"/>
      <c r="J36" s="443"/>
      <c r="K36" s="443"/>
    </row>
    <row r="37" spans="1:15" ht="16.5" customHeight="1">
      <c r="B37" s="443"/>
      <c r="C37" s="443"/>
      <c r="D37" s="443"/>
      <c r="E37" s="443"/>
      <c r="F37" s="443"/>
      <c r="G37" s="443"/>
      <c r="H37" s="443"/>
      <c r="I37" s="443"/>
      <c r="J37" s="443"/>
      <c r="K37" s="443"/>
    </row>
    <row r="38" spans="1:15" ht="15" customHeight="1">
      <c r="B38" s="443"/>
      <c r="C38" s="443"/>
      <c r="D38" s="443"/>
      <c r="E38" s="443"/>
      <c r="F38" s="443"/>
      <c r="G38" s="443"/>
      <c r="H38" s="443"/>
      <c r="I38" s="443"/>
      <c r="J38" s="443"/>
      <c r="K38" s="443"/>
    </row>
    <row r="39" spans="1:15" ht="18" customHeight="1">
      <c r="B39" s="443"/>
      <c r="C39" s="443"/>
      <c r="D39" s="443"/>
      <c r="E39" s="443"/>
      <c r="F39" s="443"/>
      <c r="G39" s="443"/>
      <c r="H39" s="443"/>
      <c r="I39" s="443"/>
      <c r="J39" s="443"/>
      <c r="K39" s="443"/>
    </row>
    <row r="40" spans="1:15" ht="18" customHeight="1">
      <c r="B40" s="443"/>
      <c r="C40" s="443"/>
      <c r="D40" s="443"/>
      <c r="E40" s="443"/>
      <c r="F40" s="443"/>
      <c r="G40" s="443"/>
      <c r="H40" s="443"/>
      <c r="I40" s="443"/>
      <c r="J40" s="443"/>
      <c r="K40" s="443"/>
    </row>
    <row r="41" spans="1:15" ht="18" customHeight="1">
      <c r="B41" s="443"/>
      <c r="C41" s="443"/>
      <c r="D41" s="443"/>
      <c r="E41" s="443"/>
      <c r="F41" s="443"/>
      <c r="G41" s="443"/>
      <c r="H41" s="443"/>
      <c r="I41" s="443"/>
      <c r="J41" s="443"/>
      <c r="K41" s="443"/>
    </row>
    <row r="42" spans="1:15" ht="18" customHeight="1">
      <c r="B42" s="443"/>
      <c r="C42" s="443"/>
      <c r="D42" s="443"/>
      <c r="E42" s="443"/>
      <c r="F42" s="443"/>
      <c r="G42" s="443"/>
      <c r="H42" s="443"/>
      <c r="I42" s="443"/>
      <c r="J42" s="443"/>
      <c r="K42" s="443"/>
    </row>
  </sheetData>
  <sheetProtection password="C767" sheet="1" scenarios="1" selectLockedCells="1"/>
  <mergeCells count="31">
    <mergeCell ref="B33:J33"/>
    <mergeCell ref="B34:I34"/>
    <mergeCell ref="B35:K42"/>
    <mergeCell ref="T26:T27"/>
    <mergeCell ref="U26:U27"/>
    <mergeCell ref="N27:R27"/>
    <mergeCell ref="B23:I23"/>
    <mergeCell ref="B22:D22"/>
    <mergeCell ref="B19:I19"/>
    <mergeCell ref="B32:K32"/>
    <mergeCell ref="B31:I31"/>
    <mergeCell ref="B30:I30"/>
    <mergeCell ref="B24:I24"/>
    <mergeCell ref="B25:I25"/>
    <mergeCell ref="B20:I20"/>
    <mergeCell ref="B27:J27"/>
    <mergeCell ref="B28:I28"/>
    <mergeCell ref="B29:I29"/>
    <mergeCell ref="B4:K4"/>
    <mergeCell ref="B8:I8"/>
    <mergeCell ref="B9:I9"/>
    <mergeCell ref="B18:I18"/>
    <mergeCell ref="B7:I7"/>
    <mergeCell ref="B16:I16"/>
    <mergeCell ref="B17:I17"/>
    <mergeCell ref="B10:I10"/>
    <mergeCell ref="B11:I11"/>
    <mergeCell ref="B14:D14"/>
    <mergeCell ref="B15:I15"/>
    <mergeCell ref="B12:I12"/>
    <mergeCell ref="B6:G6"/>
  </mergeCells>
  <conditionalFormatting sqref="B8:I8">
    <cfRule type="expression" dxfId="33" priority="58">
      <formula xml:space="preserve"> Н_Статус = "Блокирован"</formula>
    </cfRule>
  </conditionalFormatting>
  <conditionalFormatting sqref="K8">
    <cfRule type="expression" dxfId="32" priority="57">
      <formula xml:space="preserve"> Н_Статус = "Блокирован"</formula>
    </cfRule>
  </conditionalFormatting>
  <conditionalFormatting sqref="B18:I18">
    <cfRule type="expression" dxfId="31" priority="54">
      <formula xml:space="preserve"> Н_Статус = "Блокирован"</formula>
    </cfRule>
  </conditionalFormatting>
  <conditionalFormatting sqref="B20:I20">
    <cfRule type="expression" dxfId="30" priority="52">
      <formula xml:space="preserve"> Н_Статус = "Блокирован"</formula>
    </cfRule>
  </conditionalFormatting>
  <conditionalFormatting sqref="K20">
    <cfRule type="expression" dxfId="29" priority="51">
      <formula xml:space="preserve"> Н_Статус = "Блокирован"</formula>
    </cfRule>
  </conditionalFormatting>
  <conditionalFormatting sqref="B10:I11 B15:I17 B6:B7 H6:I6 B14 B27 B12">
    <cfRule type="expression" dxfId="28" priority="60">
      <formula xml:space="preserve"> Н_Статус = "Блокирован"</formula>
    </cfRule>
  </conditionalFormatting>
  <conditionalFormatting sqref="K7 K10:K12 K15:K17">
    <cfRule type="expression" dxfId="27" priority="59">
      <formula xml:space="preserve"> Н_Статус = "Блокирован"</formula>
    </cfRule>
  </conditionalFormatting>
  <conditionalFormatting sqref="E14:I14">
    <cfRule type="expression" dxfId="26" priority="50">
      <formula xml:space="preserve"> Н_Статус = "Блокирован"</formula>
    </cfRule>
  </conditionalFormatting>
  <conditionalFormatting sqref="B23:I24">
    <cfRule type="expression" dxfId="25" priority="42">
      <formula xml:space="preserve"> Н_Статус = "Блокирован"</formula>
    </cfRule>
  </conditionalFormatting>
  <conditionalFormatting sqref="K23:K24">
    <cfRule type="expression" dxfId="24" priority="41">
      <formula xml:space="preserve"> Н_Статус = "Блокирован"</formula>
    </cfRule>
  </conditionalFormatting>
  <conditionalFormatting sqref="B25:I25">
    <cfRule type="expression" dxfId="23" priority="40">
      <formula xml:space="preserve"> Н_Статус = "Блокирован"</formula>
    </cfRule>
  </conditionalFormatting>
  <conditionalFormatting sqref="K25">
    <cfRule type="expression" dxfId="22" priority="39">
      <formula xml:space="preserve"> Н_Статус = "Блокирован"</formula>
    </cfRule>
  </conditionalFormatting>
  <conditionalFormatting sqref="B22">
    <cfRule type="expression" dxfId="21" priority="38">
      <formula xml:space="preserve"> Н_Статус = "Блокирован"</formula>
    </cfRule>
  </conditionalFormatting>
  <conditionalFormatting sqref="E22:I22">
    <cfRule type="expression" dxfId="20" priority="37">
      <formula xml:space="preserve"> Н_Статус = "Блокирован"</formula>
    </cfRule>
  </conditionalFormatting>
  <conditionalFormatting sqref="K22">
    <cfRule type="expression" dxfId="19" priority="36">
      <formula xml:space="preserve"> Н_Статус = "Блокирован"</formula>
    </cfRule>
  </conditionalFormatting>
  <conditionalFormatting sqref="K18">
    <cfRule type="expression" dxfId="18" priority="35">
      <formula xml:space="preserve"> Н_Статус = "Блокирован"</formula>
    </cfRule>
  </conditionalFormatting>
  <conditionalFormatting sqref="B9:I9">
    <cfRule type="expression" dxfId="17" priority="33">
      <formula xml:space="preserve"> Н_Статус = "Блокирован"</formula>
    </cfRule>
  </conditionalFormatting>
  <conditionalFormatting sqref="K9">
    <cfRule type="expression" dxfId="16" priority="32">
      <formula xml:space="preserve"> Н_Статус = "Блокирован"</formula>
    </cfRule>
  </conditionalFormatting>
  <conditionalFormatting sqref="B19:I19">
    <cfRule type="expression" dxfId="15" priority="31">
      <formula xml:space="preserve"> Н_Статус = "Блокирован"</formula>
    </cfRule>
  </conditionalFormatting>
  <conditionalFormatting sqref="K19">
    <cfRule type="expression" dxfId="14" priority="30">
      <formula xml:space="preserve"> Н_Статус = "Блокирован"</formula>
    </cfRule>
  </conditionalFormatting>
  <conditionalFormatting sqref="K28">
    <cfRule type="expression" dxfId="13" priority="28">
      <formula xml:space="preserve"> Н_Статус = "Блокирован"</formula>
    </cfRule>
  </conditionalFormatting>
  <conditionalFormatting sqref="K30">
    <cfRule type="expression" dxfId="12" priority="22">
      <formula xml:space="preserve"> Н_Статус = "Блокирован"</formula>
    </cfRule>
  </conditionalFormatting>
  <conditionalFormatting sqref="M1:M1048576">
    <cfRule type="expression" dxfId="11" priority="2">
      <formula xml:space="preserve"> NOT(ISERR(SEARCH("#Ошибка!", M1)))</formula>
    </cfRule>
    <cfRule type="expression" dxfId="10" priority="18">
      <formula xml:space="preserve"> _xlfn.ISFORMULA($M1)</formula>
    </cfRule>
  </conditionalFormatting>
  <conditionalFormatting sqref="K31">
    <cfRule type="expression" dxfId="9" priority="17">
      <formula xml:space="preserve"> Н_Статус = "Блокирован"</formula>
    </cfRule>
  </conditionalFormatting>
  <conditionalFormatting sqref="B28:I28">
    <cfRule type="expression" dxfId="8" priority="11">
      <formula xml:space="preserve"> Н_Статус = "Блокирован"</formula>
    </cfRule>
  </conditionalFormatting>
  <conditionalFormatting sqref="B29:I29">
    <cfRule type="expression" dxfId="7" priority="9">
      <formula xml:space="preserve"> Н_Статус = "Блокирован"</formula>
    </cfRule>
  </conditionalFormatting>
  <conditionalFormatting sqref="B30:I31">
    <cfRule type="expression" dxfId="6" priority="8">
      <formula xml:space="preserve"> Н_Статус = "Блокирован"</formula>
    </cfRule>
  </conditionalFormatting>
  <conditionalFormatting sqref="B33">
    <cfRule type="expression" dxfId="5" priority="6">
      <formula xml:space="preserve"> Н_Статус = "Блокирован"</formula>
    </cfRule>
  </conditionalFormatting>
  <conditionalFormatting sqref="B34:I34">
    <cfRule type="expression" dxfId="4" priority="5">
      <formula xml:space="preserve"> Н_Статус = "Блокирован"</formula>
    </cfRule>
  </conditionalFormatting>
  <conditionalFormatting sqref="K34">
    <cfRule type="expression" dxfId="3" priority="1">
      <formula xml:space="preserve"> Н_Статус = "Блокирован"</formula>
    </cfRule>
  </conditionalFormatting>
  <dataValidations count="7">
    <dataValidation type="list" allowBlank="1" showInputMessage="1" showErrorMessage="1" sqref="K30:K31 K28 K34" xr:uid="{00000000-0002-0000-0300-000000000000}">
      <formula1>"ВКЛ,-"</formula1>
    </dataValidation>
    <dataValidation type="list" allowBlank="1" showInputMessage="1" showErrorMessage="1" sqref="K23 K16" xr:uid="{00000000-0002-0000-0300-000001000000}">
      <formula1>"мужской,женский"</formula1>
    </dataValidation>
    <dataValidation operator="greaterThanOrEqual" allowBlank="1" showInputMessage="1" showErrorMessage="1" sqref="K11" xr:uid="{00000000-0002-0000-0300-000002000000}"/>
    <dataValidation type="list" operator="greaterThan" allowBlank="1" showInputMessage="1" showErrorMessage="1" sqref="K22" xr:uid="{00000000-0002-0000-0300-000003000000}">
      <formula1>"ежегодно"</formula1>
    </dataValidation>
    <dataValidation type="list" operator="greaterThan" allowBlank="1" showInputMessage="1" showErrorMessage="1" sqref="K20" xr:uid="{00000000-0002-0000-0300-000004000000}">
      <formula1>"ДА,НЕТ"</formula1>
    </dataValidation>
    <dataValidation type="list" operator="greaterThan" allowBlank="1" showInputMessage="1" showErrorMessage="1" sqref="K8" xr:uid="{00000000-0002-0000-0300-000005000000}">
      <formula1>"рубли"</formula1>
    </dataValidation>
    <dataValidation type="list" operator="greaterThan" allowBlank="1" showInputMessage="1" showErrorMessage="1" sqref="K9" xr:uid="{00000000-0002-0000-0300-000006000000}">
      <formula1>"ежегодно, раз в пол года, ежеквартально, ежемесячно"</formula1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7000000}">
          <x14:formula1>
            <xm:f>'#Настройки'!$E$4:$E$33</xm:f>
          </x14:formula1>
          <xm:sqref>K10</xm:sqref>
        </x14:dataValidation>
        <x14:dataValidation type="list" operator="greaterThanOrEqual" allowBlank="1" showInputMessage="1" showErrorMessage="1" xr:uid="{00000000-0002-0000-0300-000008000000}">
          <x14:formula1>
            <xm:f>'#Регионы доп'!$I$3:$I$34</xm:f>
          </x14:formula1>
          <xm:sqref>K12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Draft">
    <pageSetUpPr fitToPage="1"/>
  </sheetPr>
  <dimension ref="A1:Q102"/>
  <sheetViews>
    <sheetView showGridLines="0" tabSelected="1" zoomScale="70" zoomScaleNormal="70" workbookViewId="0">
      <selection activeCell="KF2" sqref="KF2"/>
    </sheetView>
  </sheetViews>
  <sheetFormatPr defaultRowHeight="15"/>
  <cols>
    <col min="1" max="1" width="6.5703125" customWidth="1"/>
    <col min="2" max="2" width="24.140625" customWidth="1"/>
    <col min="3" max="3" width="13.85546875" customWidth="1"/>
    <col min="4" max="4" width="19.140625" customWidth="1"/>
    <col min="5" max="5" width="35" customWidth="1"/>
    <col min="6" max="6" width="28.42578125" customWidth="1"/>
    <col min="7" max="7" width="17.5703125" customWidth="1"/>
    <col min="8" max="8" width="25.5703125" customWidth="1"/>
    <col min="9" max="10" width="12.5703125" customWidth="1"/>
    <col min="13" max="13" width="9.85546875" bestFit="1" customWidth="1"/>
  </cols>
  <sheetData>
    <row r="1" spans="1:17" ht="15.75" customHeight="1">
      <c r="B1" s="29"/>
      <c r="C1" s="29"/>
      <c r="D1" s="29"/>
      <c r="E1" s="3"/>
      <c r="F1" s="3"/>
      <c r="G1" s="3"/>
      <c r="H1" s="3"/>
      <c r="I1" s="29"/>
      <c r="J1" s="3"/>
      <c r="K1" s="3"/>
      <c r="L1" s="3"/>
      <c r="M1" s="3"/>
      <c r="N1" s="3"/>
      <c r="O1" s="3"/>
    </row>
    <row r="2" spans="1:17" ht="18" customHeight="1"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1:17" ht="31.5" customHeight="1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7" ht="21">
      <c r="B4" s="278" t="s">
        <v>24</v>
      </c>
      <c r="C4" s="472" t="str">
        <f ca="1" xml:space="preserve"> IF(Н_Ошибок &gt; 0, "#Ошибки в исходных данных", 'Расчет программы'!$K$15 &amp; ",")</f>
        <v>Тест,</v>
      </c>
      <c r="D4" s="472"/>
      <c r="E4" s="472"/>
      <c r="F4" s="472"/>
      <c r="G4" s="472"/>
      <c r="H4" s="472"/>
      <c r="I4" s="472"/>
      <c r="J4" s="472"/>
      <c r="K4" s="26"/>
      <c r="L4" s="26"/>
      <c r="M4" s="26"/>
      <c r="N4" s="26"/>
      <c r="O4" s="26"/>
      <c r="P4" s="26"/>
    </row>
    <row r="5" spans="1:17" ht="27" customHeight="1">
      <c r="B5" s="482" t="s">
        <v>338</v>
      </c>
      <c r="C5" s="482"/>
      <c r="D5" s="482"/>
      <c r="E5" s="482"/>
      <c r="F5" s="482"/>
      <c r="G5" s="482"/>
      <c r="H5" s="482"/>
      <c r="I5" s="482"/>
      <c r="J5" s="482"/>
      <c r="K5" s="26"/>
      <c r="L5" s="26"/>
      <c r="M5" s="26"/>
      <c r="N5" s="26"/>
      <c r="O5" s="26"/>
      <c r="P5" s="26"/>
    </row>
    <row r="6" spans="1:17" ht="14.25" customHeight="1">
      <c r="B6" s="28"/>
      <c r="C6" s="28"/>
      <c r="D6" s="28"/>
      <c r="E6" s="28"/>
      <c r="F6" s="28"/>
      <c r="G6" s="28"/>
      <c r="H6" s="28"/>
      <c r="I6" s="28"/>
      <c r="J6" s="22"/>
      <c r="K6" s="26"/>
      <c r="L6" s="26"/>
      <c r="M6" s="26"/>
      <c r="N6" s="26"/>
      <c r="O6" s="26"/>
      <c r="P6" s="26"/>
    </row>
    <row r="7" spans="1:17" ht="35.25" hidden="1" customHeight="1">
      <c r="B7" s="486"/>
      <c r="C7" s="486"/>
      <c r="D7" s="486"/>
      <c r="E7" s="486"/>
      <c r="F7" s="486"/>
      <c r="G7" s="486"/>
      <c r="H7" s="486"/>
      <c r="I7" s="486"/>
      <c r="J7" s="486"/>
      <c r="K7" s="26"/>
      <c r="L7" s="26"/>
      <c r="M7" s="26"/>
      <c r="N7" s="26"/>
      <c r="O7" s="26"/>
      <c r="P7" s="26"/>
    </row>
    <row r="8" spans="1:17" ht="62.25" hidden="1" customHeight="1">
      <c r="B8" s="22"/>
      <c r="C8" s="22"/>
      <c r="D8" s="22"/>
      <c r="E8" s="22"/>
      <c r="F8" s="22"/>
      <c r="G8" s="22"/>
      <c r="H8" s="22"/>
      <c r="I8" s="22"/>
      <c r="J8" s="22"/>
      <c r="K8" s="26"/>
      <c r="L8" s="26"/>
      <c r="M8" s="26"/>
      <c r="N8" s="26"/>
      <c r="O8" s="26"/>
      <c r="P8" s="26"/>
    </row>
    <row r="9" spans="1:17" ht="24.75" customHeight="1">
      <c r="B9" s="487" t="s">
        <v>339</v>
      </c>
      <c r="C9" s="487"/>
      <c r="D9" s="487"/>
      <c r="E9" s="487"/>
      <c r="F9" s="487"/>
      <c r="G9" s="487"/>
      <c r="H9" s="487"/>
      <c r="I9" s="487"/>
      <c r="J9" s="487"/>
      <c r="K9" s="26"/>
      <c r="L9" s="26"/>
      <c r="M9" s="26"/>
      <c r="N9" s="26"/>
      <c r="O9" s="26"/>
      <c r="P9" s="26"/>
    </row>
    <row r="10" spans="1:17" ht="104.25" customHeight="1" thickBot="1">
      <c r="B10" s="279"/>
      <c r="C10" s="279"/>
      <c r="D10" s="279"/>
      <c r="E10" s="279"/>
      <c r="F10" s="279"/>
      <c r="G10" s="279"/>
      <c r="H10" s="279"/>
      <c r="I10" s="279"/>
      <c r="J10" s="279"/>
      <c r="K10" s="27"/>
      <c r="L10" s="273"/>
      <c r="M10" s="27"/>
      <c r="N10" s="27"/>
      <c r="O10" s="27"/>
      <c r="P10" s="27"/>
      <c r="Q10" s="1"/>
    </row>
    <row r="11" spans="1:17" ht="29.25" customHeight="1">
      <c r="A11" s="1"/>
      <c r="B11" s="483" t="s">
        <v>340</v>
      </c>
      <c r="C11" s="484"/>
      <c r="D11" s="484"/>
      <c r="E11" s="484"/>
      <c r="F11" s="484"/>
      <c r="G11" s="484"/>
      <c r="H11" s="484"/>
      <c r="I11" s="484"/>
      <c r="J11" s="485"/>
      <c r="K11" s="24"/>
      <c r="L11" s="24"/>
      <c r="M11" s="24"/>
      <c r="N11" s="24"/>
      <c r="O11" s="24"/>
      <c r="P11" s="1"/>
      <c r="Q11" s="1"/>
    </row>
    <row r="12" spans="1:17" ht="24" customHeight="1">
      <c r="A12" s="27"/>
      <c r="B12" s="357"/>
      <c r="C12" s="346"/>
      <c r="D12" s="346"/>
      <c r="E12" s="346"/>
      <c r="F12" s="346"/>
      <c r="G12" s="346"/>
      <c r="H12" s="346"/>
      <c r="I12" s="346"/>
      <c r="J12" s="358"/>
      <c r="K12" s="24"/>
      <c r="L12" s="24"/>
      <c r="M12" s="24"/>
      <c r="N12" s="24"/>
      <c r="O12" s="24"/>
      <c r="P12" s="1"/>
      <c r="Q12" s="1"/>
    </row>
    <row r="13" spans="1:17" ht="24" customHeight="1">
      <c r="A13" s="27"/>
      <c r="B13" s="474" t="s">
        <v>23</v>
      </c>
      <c r="C13" s="475"/>
      <c r="D13" s="347" t="str">
        <f ca="1" xml:space="preserve"> IF(Н_Ошибок &gt; 0, "#Ошибки в исходных данных", "13.03.2024") &amp; T(N("Вписано макросом чтобы была возможность отследить, когда было расчитано предложение...???"))</f>
        <v>13.03.2024</v>
      </c>
      <c r="E13" s="346"/>
      <c r="F13" s="349" t="s">
        <v>59</v>
      </c>
      <c r="G13" s="349"/>
      <c r="H13" s="350" t="str">
        <f ca="1" xml:space="preserve"> IF(Н_Ошибок &gt; 0, "#Ошибки в исходных данных",
   IF('Расчет программы'!$K$8 = "", "",
   'Расчет программы'!$K$8))</f>
        <v>рубли</v>
      </c>
      <c r="I13" s="346"/>
      <c r="J13" s="358"/>
      <c r="K13" s="24"/>
      <c r="L13" s="24"/>
      <c r="M13" s="24"/>
      <c r="N13" s="24"/>
      <c r="O13" s="24"/>
      <c r="P13" s="1"/>
      <c r="Q13" s="1"/>
    </row>
    <row r="14" spans="1:17" ht="24" customHeight="1">
      <c r="A14" s="27"/>
      <c r="B14" s="476" t="s">
        <v>22</v>
      </c>
      <c r="C14" s="477"/>
      <c r="D14" s="348">
        <f ca="1" xml:space="preserve"> IF(Н_Ошибок &gt; 0, "#Ошибки в исходных данных",
   IF('Расчет программы'!$K$18 = "", "",
   'Расчет программы'!$K$18))</f>
        <v>34</v>
      </c>
      <c r="E14" s="346"/>
      <c r="F14" s="351" t="s">
        <v>60</v>
      </c>
      <c r="G14" s="351"/>
      <c r="H14" s="348">
        <f ca="1" xml:space="preserve"> IF(Н_Ошибок &gt; 0, "#Ошибки в исходных данных",
   IF('Расчет программы'!$K$10 = "", "",
   'Расчет программы'!$K$10))</f>
        <v>5</v>
      </c>
      <c r="I14" s="346"/>
      <c r="J14" s="358"/>
      <c r="K14" s="24"/>
      <c r="L14" s="24"/>
      <c r="M14" s="24"/>
      <c r="N14" s="24"/>
      <c r="O14" s="24"/>
      <c r="P14" s="1"/>
      <c r="Q14" s="1"/>
    </row>
    <row r="15" spans="1:17" ht="24" customHeight="1" thickBot="1">
      <c r="A15" s="27"/>
      <c r="B15" s="478" t="s">
        <v>21</v>
      </c>
      <c r="C15" s="479"/>
      <c r="D15" s="359" t="str">
        <f ca="1" xml:space="preserve"> IF(Н_Ошибок &gt; 0, "#Ошибки в исходных данных",
   IF('Расчет программы'!$K$16 = "", "",
   'Расчет программы'!$K$16))</f>
        <v>Мужской</v>
      </c>
      <c r="E15" s="360"/>
      <c r="F15" s="360" t="s">
        <v>61</v>
      </c>
      <c r="G15" s="360"/>
      <c r="H15" s="359" t="str">
        <f ca="1" xml:space="preserve"> IF(Н_Ошибок &gt; 0, "#Ошибки в исходных данных",
   IF('Расчет программы'!$K$9 = "", "",
   'Расчет программы'!$K$9))</f>
        <v>Ежегодно</v>
      </c>
      <c r="I15" s="360"/>
      <c r="J15" s="361"/>
      <c r="K15" s="24"/>
      <c r="L15" s="24"/>
      <c r="M15" s="24"/>
      <c r="N15" s="24"/>
      <c r="O15" s="24"/>
      <c r="P15" s="1"/>
      <c r="Q15" s="1"/>
    </row>
    <row r="16" spans="1:17" ht="29.25" customHeight="1">
      <c r="A16" s="26"/>
      <c r="B16" s="22"/>
      <c r="C16" s="22"/>
      <c r="D16" s="22"/>
      <c r="E16" s="22"/>
      <c r="F16" s="22"/>
      <c r="G16" s="22"/>
      <c r="H16" s="22"/>
      <c r="I16" s="22"/>
      <c r="J16" s="20"/>
      <c r="K16" s="24"/>
      <c r="L16" s="24"/>
      <c r="M16" s="24"/>
      <c r="N16" s="24"/>
      <c r="O16" s="24"/>
      <c r="P16" s="1"/>
      <c r="Q16" s="1"/>
    </row>
    <row r="17" spans="2:17" ht="30.75" customHeight="1">
      <c r="B17" s="488" t="s">
        <v>20</v>
      </c>
      <c r="C17" s="488"/>
      <c r="D17" s="488"/>
      <c r="E17" s="488"/>
      <c r="F17" s="488"/>
      <c r="G17" s="488"/>
      <c r="H17" s="488"/>
      <c r="I17" s="488"/>
      <c r="J17" s="488"/>
      <c r="K17" s="24"/>
      <c r="L17" s="24"/>
      <c r="M17" s="24"/>
      <c r="N17" s="24"/>
      <c r="O17" s="24"/>
      <c r="P17" s="1"/>
      <c r="Q17" s="1"/>
    </row>
    <row r="18" spans="2:17" ht="34.5" customHeight="1">
      <c r="B18" s="468" t="s">
        <v>18</v>
      </c>
      <c r="C18" s="468"/>
      <c r="D18" s="469"/>
      <c r="E18" s="468" t="s">
        <v>34</v>
      </c>
      <c r="F18" s="480" t="s">
        <v>627</v>
      </c>
      <c r="G18" s="473"/>
      <c r="H18" s="473" t="s">
        <v>17</v>
      </c>
      <c r="I18" s="470" t="s">
        <v>260</v>
      </c>
      <c r="J18" s="470"/>
      <c r="K18" s="25"/>
      <c r="L18" s="25"/>
      <c r="M18" s="24"/>
      <c r="N18" s="24"/>
      <c r="O18" s="24"/>
      <c r="P18" s="1"/>
      <c r="Q18" s="1"/>
    </row>
    <row r="19" spans="2:17" ht="34.5" customHeight="1">
      <c r="B19" s="470"/>
      <c r="C19" s="470"/>
      <c r="D19" s="471"/>
      <c r="E19" s="470"/>
      <c r="F19" s="481"/>
      <c r="G19" s="471"/>
      <c r="H19" s="471"/>
      <c r="I19" s="352" t="s">
        <v>16</v>
      </c>
      <c r="J19" s="353" t="s">
        <v>15</v>
      </c>
      <c r="K19" s="24"/>
      <c r="L19" s="24"/>
      <c r="M19" s="24"/>
      <c r="N19" s="24"/>
      <c r="O19" s="24"/>
      <c r="P19" s="1"/>
      <c r="Q19" s="1"/>
    </row>
    <row r="20" spans="2:17" ht="36" customHeight="1">
      <c r="B20" s="452" t="s">
        <v>51</v>
      </c>
      <c r="C20" s="452"/>
      <c r="D20" s="453"/>
      <c r="E20" s="280">
        <f ca="1" xml:space="preserve">
 IF(Н_Ошибок &gt; 0, "#Ошибки в исходных данных", 'Расчет программы'!$K$11)</f>
        <v>1500000</v>
      </c>
      <c r="F20" s="466">
        <f ca="1" xml:space="preserve">
 IF(Н_Ошибок &gt; 0, "#Ошибки в исходных данных", Расчет!$I$34)</f>
        <v>3912.3</v>
      </c>
      <c r="G20" s="467" t="e">
        <f>#REF!</f>
        <v>#REF!</v>
      </c>
      <c r="H20" s="281" t="s">
        <v>12</v>
      </c>
      <c r="I20" s="282">
        <f ca="1" xml:space="preserve"> IF(Н_Ошибок &gt; 0, "#Ошибки",
   IF( $F20 &gt; 0, 'Расчет программы'!$K$7,
   "-"))</f>
        <v>45813</v>
      </c>
      <c r="J20" s="283">
        <f ca="1" xml:space="preserve"> IFERROR(
         DATE(
                YEAR(I20) + 'Расчет программы'!$K$10,
                MONTH(I20),
                DAY(I20) - 1
         ),
   "-")</f>
        <v>47638</v>
      </c>
      <c r="K20" s="24"/>
      <c r="L20" s="47"/>
      <c r="M20" s="41"/>
      <c r="N20" s="24"/>
      <c r="O20" s="24"/>
      <c r="P20" s="1"/>
      <c r="Q20" s="1"/>
    </row>
    <row r="21" spans="2:17" ht="42" customHeight="1">
      <c r="B21" s="447" t="s">
        <v>19</v>
      </c>
      <c r="C21" s="447"/>
      <c r="D21" s="448"/>
      <c r="E21" s="280">
        <f ca="1" xml:space="preserve"> IF(Н_Ошибок &gt; 0, "#Ошибки в исходных данных",
   IF('Расчет программы'!$K$18 &gt; 64, "-",
   'Расчет программы'!$K$11))</f>
        <v>1500000</v>
      </c>
      <c r="F21" s="456">
        <f ca="1" xml:space="preserve"> IF(Н_Ошибок &gt; 0, "#Ошибки в исходных данных",
   IF('Расчет программы'!$K$18 &gt; 64, "-",
   Расчет!$I$35))</f>
        <v>617.16999999999996</v>
      </c>
      <c r="G21" s="457" t="e">
        <f>#REF!</f>
        <v>#REF!</v>
      </c>
      <c r="H21" s="281" t="s">
        <v>12</v>
      </c>
      <c r="I21" s="284">
        <f ca="1" xml:space="preserve"> IF(Н_Ошибок &gt; 0, "#Ошибки",
   IF( N($F$21) &gt; 0, 'Расчет программы'!$K$7,
   "-"))</f>
        <v>45813</v>
      </c>
      <c r="J21" s="285">
        <f ca="1" xml:space="preserve"> IFERROR(
         DATE(
                YEAR(I21) + 'Расчет программы'!$K$10 - MAX(0, 'Расчет программы'!$K$19 - 65),
                MONTH(I21),
                DAY(I21) - 1
         ),
   "-")</f>
        <v>47638</v>
      </c>
      <c r="K21" s="24"/>
      <c r="L21" s="222"/>
      <c r="M21" s="41"/>
      <c r="N21" s="24"/>
      <c r="O21" s="24"/>
      <c r="P21" s="1"/>
      <c r="Q21" s="1"/>
    </row>
    <row r="22" spans="2:17" ht="20.25" customHeight="1">
      <c r="B22" s="449"/>
      <c r="C22" s="449"/>
      <c r="D22" s="449"/>
      <c r="E22" s="449"/>
      <c r="F22" s="449"/>
      <c r="G22" s="449"/>
      <c r="H22" s="449"/>
      <c r="I22" s="449"/>
      <c r="J22" s="449"/>
      <c r="K22" s="24"/>
      <c r="L22" s="24"/>
      <c r="M22" s="24"/>
      <c r="N22" s="24"/>
      <c r="O22" s="24"/>
      <c r="P22" s="1"/>
      <c r="Q22" s="1"/>
    </row>
    <row r="23" spans="2:17" ht="30" customHeight="1">
      <c r="B23" s="446" t="s">
        <v>35</v>
      </c>
      <c r="C23" s="446"/>
      <c r="D23" s="446"/>
      <c r="E23" s="446"/>
      <c r="F23" s="446"/>
      <c r="G23" s="446"/>
      <c r="H23" s="446"/>
      <c r="I23" s="446"/>
      <c r="J23" s="446"/>
      <c r="K23" s="24"/>
      <c r="L23" s="24"/>
      <c r="M23" s="24"/>
      <c r="N23" s="24"/>
      <c r="O23" s="24"/>
      <c r="P23" s="1"/>
      <c r="Q23" s="1"/>
    </row>
    <row r="24" spans="2:17" ht="36" customHeight="1">
      <c r="B24" s="480" t="s">
        <v>18</v>
      </c>
      <c r="C24" s="489"/>
      <c r="D24" s="473"/>
      <c r="E24" s="464" t="s">
        <v>34</v>
      </c>
      <c r="F24" s="489" t="s">
        <v>627</v>
      </c>
      <c r="G24" s="473"/>
      <c r="H24" s="464" t="s">
        <v>17</v>
      </c>
      <c r="I24" s="489" t="s">
        <v>260</v>
      </c>
      <c r="J24" s="473"/>
      <c r="K24" s="24"/>
      <c r="L24" s="24"/>
      <c r="M24" s="24"/>
      <c r="N24" s="24"/>
      <c r="O24" s="24"/>
      <c r="P24" s="1"/>
      <c r="Q24" s="1"/>
    </row>
    <row r="25" spans="2:17" ht="36" customHeight="1">
      <c r="B25" s="481"/>
      <c r="C25" s="470"/>
      <c r="D25" s="471"/>
      <c r="E25" s="465"/>
      <c r="F25" s="470"/>
      <c r="G25" s="471"/>
      <c r="H25" s="465"/>
      <c r="I25" s="354" t="s">
        <v>16</v>
      </c>
      <c r="J25" s="354" t="s">
        <v>15</v>
      </c>
      <c r="K25" s="24"/>
      <c r="L25" s="24"/>
      <c r="M25" s="24"/>
      <c r="N25" s="24"/>
      <c r="O25" s="24"/>
      <c r="P25" s="1"/>
      <c r="Q25" s="1"/>
    </row>
    <row r="26" spans="2:17" ht="36" customHeight="1">
      <c r="B26" s="491" t="s">
        <v>246</v>
      </c>
      <c r="C26" s="491"/>
      <c r="D26" s="491"/>
      <c r="E26" s="491"/>
      <c r="F26" s="491"/>
      <c r="G26" s="491"/>
      <c r="H26" s="491"/>
      <c r="I26" s="491"/>
      <c r="J26" s="491"/>
      <c r="K26" s="24"/>
      <c r="L26" s="24"/>
      <c r="M26" s="24"/>
      <c r="N26" s="24"/>
      <c r="O26" s="24"/>
      <c r="P26" s="1"/>
      <c r="Q26" s="1"/>
    </row>
    <row r="27" spans="2:17" ht="50.25" customHeight="1">
      <c r="B27" s="452" t="s">
        <v>14</v>
      </c>
      <c r="C27" s="452"/>
      <c r="D27" s="453"/>
      <c r="E27" s="286">
        <f ca="1" xml:space="preserve"> IF('Расчет программы'!$K$28 &lt;&gt; "ВКЛ", "-",
   IF(Н_Ошибок &gt; 0, "#Ошибки в исходных данных",
   'Расчет программы'!$K$11))</f>
        <v>1500000</v>
      </c>
      <c r="F27" s="454">
        <f ca="1" xml:space="preserve"> IF('Расчет программы'!$K$28 &lt;&gt; "ВКЛ", "-",
   IF(Н_Ошибок &gt; 0, "#Ошибки в исходных данных",
   Расчет!$I$38))</f>
        <v>1681.96</v>
      </c>
      <c r="G27" s="455" t="e">
        <f>#REF!</f>
        <v>#REF!</v>
      </c>
      <c r="H27" s="287" t="s">
        <v>12</v>
      </c>
      <c r="I27" s="288">
        <f ca="1" xml:space="preserve"> IF('Расчет программы'!$K$28 &lt;&gt; "ВКЛ", "-",
   IF(Н_Ошибок &gt; 0, "#Ошибки",
   IF( $F$27 &gt; 0, 'Расчет программы'!$K$7,
   "-")))</f>
        <v>45813</v>
      </c>
      <c r="J27" s="285">
        <f ca="1" xml:space="preserve"> IFERROR(
         DATE(
                YEAR(I27) + 'Расчет программы'!$K$10,
                MONTH(I27),
                DAY(I27) - 1
         ),
   "-")</f>
        <v>47638</v>
      </c>
      <c r="K27" s="24"/>
      <c r="L27" s="24"/>
      <c r="M27" s="41"/>
      <c r="N27" s="24"/>
      <c r="O27" s="24"/>
      <c r="P27" s="1"/>
      <c r="Q27" s="1"/>
    </row>
    <row r="28" spans="2:17" ht="48" customHeight="1">
      <c r="B28" s="447" t="s">
        <v>13</v>
      </c>
      <c r="C28" s="447"/>
      <c r="D28" s="448"/>
      <c r="E28" s="286">
        <f ca="1" xml:space="preserve"> IF('Расчет программы'!$K$28 &lt;&gt; "ВКЛ", "-",
   IF(Н_Ошибок &gt; 0, "#Ошибки в исходных данных",
   'Расчет программы'!$K$11))</f>
        <v>1500000</v>
      </c>
      <c r="F28" s="454">
        <f ca="1" xml:space="preserve"> IF('Расчет программы'!$K$28 &lt;&gt; "ВКЛ", "-",
   IF(Н_Ошибок &gt; 0, "#Ошибки в исходных данных",
   Расчет!$I$39))</f>
        <v>421.01</v>
      </c>
      <c r="G28" s="455" t="e">
        <f>#REF!</f>
        <v>#REF!</v>
      </c>
      <c r="H28" s="289" t="s">
        <v>12</v>
      </c>
      <c r="I28" s="290">
        <f ca="1" xml:space="preserve"> IF('Расчет программы'!$K$28 &lt;&gt; "ВКЛ", "-",
   IF(Н_Ошибок &gt; 0, "#Ошибки",
   IF( $F$28 &gt; 0, 'Расчет программы'!$K$7, "-")))</f>
        <v>45813</v>
      </c>
      <c r="J28" s="285">
        <f ca="1" xml:space="preserve"> IFERROR(
         DATE(
                YEAR(I28) + 'Расчет программы'!$K$10,
                MONTH(I28),
                DAY(I28) - 1
         ),
   "-")</f>
        <v>47638</v>
      </c>
      <c r="K28" s="24"/>
      <c r="L28" s="24"/>
      <c r="M28" s="41"/>
      <c r="N28" s="24"/>
      <c r="O28" s="24"/>
      <c r="P28" s="1"/>
      <c r="Q28" s="1"/>
    </row>
    <row r="29" spans="2:17" ht="48" customHeight="1">
      <c r="B29" s="447" t="s">
        <v>247</v>
      </c>
      <c r="C29" s="447"/>
      <c r="D29" s="448"/>
      <c r="E29" s="286">
        <f ca="1" xml:space="preserve"> IF('Расчет программы'!$K$28 &lt;&gt; "ВКЛ", "-",
   IF(Н_Ошибок &gt; 0, "#Ошибки в исходных данных",
   IF('Расчет программы'!$K$11 &gt; 7000000, 7000000,
   'Расчет программы'!$K$11)))</f>
        <v>1500000</v>
      </c>
      <c r="F29" s="454">
        <f ca="1" xml:space="preserve"> IF('Расчет программы'!$K$28 &lt;&gt; "ВКЛ", "-",
   IF(Н_Ошибок &gt; 0, "#Ошибки в исходных данных",
   Расчет!$I$40))</f>
        <v>2751.16</v>
      </c>
      <c r="G29" s="455" t="e">
        <f>#REF!</f>
        <v>#REF!</v>
      </c>
      <c r="H29" s="289" t="s">
        <v>63</v>
      </c>
      <c r="I29" s="290">
        <f ca="1" xml:space="preserve"> IF('Расчет программы'!$K$28 &lt;&gt; "ВКЛ", "-",
   IF(Н_Ошибок &gt; 0, "#Ошибки",
   IF( $F$28 &gt; 0, 'Расчет программы'!$K$7, "-")))</f>
        <v>45813</v>
      </c>
      <c r="J29" s="285">
        <f ca="1" xml:space="preserve"> IFERROR(
         DATE(
                YEAR(I29) + 'Расчет программы'!$K$10,
                MONTH(I29),
                DAY(I29) - 1
         ),
   "-")</f>
        <v>47638</v>
      </c>
      <c r="K29" s="24"/>
      <c r="L29" s="24"/>
      <c r="M29" s="41"/>
      <c r="N29" s="24"/>
      <c r="O29" s="24"/>
      <c r="P29" s="1"/>
      <c r="Q29" s="1"/>
    </row>
    <row r="30" spans="2:17" ht="36" customHeight="1">
      <c r="B30" s="492" t="s">
        <v>255</v>
      </c>
      <c r="C30" s="492"/>
      <c r="D30" s="492"/>
      <c r="E30" s="492"/>
      <c r="F30" s="492"/>
      <c r="G30" s="492"/>
      <c r="H30" s="492"/>
      <c r="I30" s="492"/>
      <c r="J30" s="492"/>
      <c r="K30" s="3"/>
      <c r="L30" s="3"/>
      <c r="M30" s="223"/>
      <c r="N30" s="3"/>
      <c r="O30" s="3"/>
    </row>
    <row r="31" spans="2:17" ht="135" customHeight="1">
      <c r="B31" s="447" t="str">
        <f xml:space="preserve"> IF('Расчет программы'!$K$30 = "ВКЛ", "Первичное диагностирование Застрахованному и лечение критического заболевания в РФ",
   IF('Расчет программы'!$K$31 = "ВКЛ", "Первичное диагностирование Застрахованному и лечение критического заболевания за рубежом",
   ""))</f>
        <v>Первичное диагностирование Застрахованному и лечение критического заболевания в РФ</v>
      </c>
      <c r="C31" s="447"/>
      <c r="D31" s="448"/>
      <c r="E31" s="291" t="str">
        <f xml:space="preserve"> IF('Расчет программы'!$K$30 = "ВКЛ",   "в соответствии с программой ДМС «Диагностирование и лечение критического заболевания», максимальная страховая сумма 
60 000 000 руб., 
дополнительно по реабилитации 400 000 руб.",
   IF('Расчет программы'!$K$31 = "ВКЛ",   "в соответствии с программой ДМС «Диагностирование и лечение критического заболевания», максимальная страховая сумма 
60 000 000 руб., 
дополнительно по реабилитации 2 100 000 руб.",
  "-"))</f>
        <v>в соответствии с программой ДМС «Диагностирование и лечение критического заболевания», максимальная страховая сумма 
60 000 000 руб., 
дополнительно по реабилитации 400 000 руб.</v>
      </c>
      <c r="F31" s="454">
        <f ca="1" xml:space="preserve"> IF(Н_Ошибок &gt; 0, "#Ошибки в исходных данных",
   IF('Расчет программы'!$K$30 = "ВКЛ", Расчет!$I$43,
   IF('Расчет программы'!$K$31 = "ВКЛ", Расчет!$I$44,
   "-")))</f>
        <v>9305.26</v>
      </c>
      <c r="G31" s="455" t="e">
        <f>#REF!</f>
        <v>#REF!</v>
      </c>
      <c r="H31" s="289" t="s">
        <v>631</v>
      </c>
      <c r="I31" s="290">
        <f ca="1" xml:space="preserve"> IF(Н_Ошибок &gt; 0, "#Ошибки",
   IF( $F$31 &gt; 0, 'Расчет программы'!$K$7, "-"))</f>
        <v>45813</v>
      </c>
      <c r="J31" s="285">
        <f ca="1" xml:space="preserve"> IFERROR(
         DATE(
                YEAR(I31) + IF('Расчет программы'!$K$10 - MAX(0, 'Расчет программы'!$K$19 - 65) &gt; 5, 5,
                                             'Расчет программы'!$K$10 - MAX(0, 'Расчет программы'!$K$19 - 65)
                                   ),
                MONTH(I31),
                DAY(I31) - 1
         ),
   "-")</f>
        <v>47638</v>
      </c>
      <c r="K31" s="3"/>
      <c r="L31" s="221"/>
      <c r="M31" s="41"/>
      <c r="N31" s="3"/>
      <c r="O31" s="3"/>
    </row>
    <row r="32" spans="2:17" ht="36" customHeight="1">
      <c r="B32" s="493" t="s">
        <v>317</v>
      </c>
      <c r="C32" s="493"/>
      <c r="D32" s="493"/>
      <c r="E32" s="493"/>
      <c r="F32" s="493"/>
      <c r="G32" s="493"/>
      <c r="H32" s="493"/>
      <c r="I32" s="493"/>
      <c r="J32" s="493"/>
      <c r="K32" s="3"/>
      <c r="L32" s="2"/>
      <c r="M32" s="3"/>
      <c r="N32" s="3"/>
      <c r="O32" s="3"/>
    </row>
    <row r="33" spans="2:15" ht="147.75" customHeight="1">
      <c r="B33" s="458" t="s">
        <v>318</v>
      </c>
      <c r="C33" s="458"/>
      <c r="D33" s="459"/>
      <c r="E33" s="462" t="s">
        <v>319</v>
      </c>
      <c r="F33" s="463"/>
      <c r="G33" s="463"/>
      <c r="H33" s="463"/>
      <c r="I33" s="463"/>
      <c r="J33" s="463"/>
      <c r="K33" s="3"/>
      <c r="L33" s="272"/>
      <c r="M33" s="41"/>
      <c r="N33" s="3"/>
      <c r="O33" s="3"/>
    </row>
    <row r="34" spans="2:15" ht="28.5" customHeight="1">
      <c r="B34" s="449"/>
      <c r="C34" s="449"/>
      <c r="D34" s="449"/>
      <c r="E34" s="449"/>
      <c r="F34" s="449"/>
      <c r="G34" s="449"/>
      <c r="H34" s="449"/>
      <c r="I34" s="449"/>
      <c r="J34" s="449"/>
      <c r="K34" s="3"/>
      <c r="L34" s="3"/>
      <c r="M34" s="3"/>
      <c r="N34" s="3"/>
      <c r="O34" s="3"/>
    </row>
    <row r="35" spans="2:15" ht="27.75" hidden="1" customHeight="1">
      <c r="B35" s="492" t="s">
        <v>624</v>
      </c>
      <c r="C35" s="492"/>
      <c r="D35" s="492"/>
      <c r="E35" s="492"/>
      <c r="F35" s="492"/>
      <c r="G35" s="492"/>
      <c r="H35" s="492"/>
      <c r="I35" s="492"/>
      <c r="J35" s="492"/>
      <c r="K35" s="3"/>
      <c r="L35" s="272"/>
      <c r="M35" s="41"/>
      <c r="N35" s="3"/>
      <c r="O35" s="3"/>
    </row>
    <row r="36" spans="2:15" ht="27" hidden="1" customHeight="1">
      <c r="B36" s="497" t="s">
        <v>625</v>
      </c>
      <c r="C36" s="497"/>
      <c r="D36" s="497"/>
      <c r="E36" s="497"/>
      <c r="F36" s="497"/>
      <c r="G36" s="497"/>
      <c r="H36" s="497"/>
      <c r="I36" s="497"/>
      <c r="J36" s="497"/>
      <c r="K36" s="3"/>
      <c r="L36" s="272"/>
      <c r="M36" s="413"/>
      <c r="N36" s="3"/>
      <c r="O36" s="3"/>
    </row>
    <row r="37" spans="2:15" ht="47.25" hidden="1" customHeight="1">
      <c r="B37" s="414" t="str">
        <f xml:space="preserve"> "Клиники " &amp; VLOOKUP(КЛ_ГОРОД, '#Регионы доп'!$I$3:$J$503, 2, 0) &amp; ":"</f>
        <v>Клиники Москвы:</v>
      </c>
      <c r="C37" s="498" t="str">
        <f ca="1" xml:space="preserve"> IF(
          OR(
                     AND('Расчет программы'!$K$18 &lt;= 65,  'Расчет программы'!$K$11 &gt; 15000000),
                     AND('Расчет программы'!$K$18 &gt; 65,    'Расчет программы'!$K$11 &gt; 5000000)
          ),
        IF(КЛ_ГОРОД = "Москва",
            IF($H$41 &lt; 350000,        "GVM, Атлас, Сити Клиник",
                IF(AND($H$41 &gt;= 350000, $H$41 &lt; 600000),        "Тектум Медика, GVM, Атлас, Сити Клиник",
                IF(AND($H$41 &gt;= 600000, $H$41 &lt; 1200000),      "Хадасса (Москва), Тектум Медика, Атлас, GVM",
                IF(AND($H$41 &gt;= 1200000, $H$41 &lt; 2000000),    "К+31 на Лобачевского, Хадасса (Москва), Тектум Медика, Атлас, GVM",
                IF(AND($H$41 &gt;= 2000000),                                   "ЕМС-клиник, Хадасса (Москва), Тектум Медика, Атлас",
                ""))))),
          IF(КЛ_ГОРОД &lt;&gt; "Москва",
               ПОЛУЧИТЬ_СПИСОК_КЛИНИК(КЛ_ГОРОД),
          NA())),
   "")</f>
        <v/>
      </c>
      <c r="D37" s="498"/>
      <c r="E37" s="498"/>
      <c r="F37" s="498"/>
      <c r="G37" s="498"/>
      <c r="H37" s="498"/>
      <c r="I37" s="498"/>
      <c r="J37" s="498"/>
      <c r="K37" s="3"/>
      <c r="L37" s="272"/>
      <c r="M37" s="41"/>
      <c r="N37" s="3"/>
      <c r="O37" s="3"/>
    </row>
    <row r="38" spans="2:15" ht="11.25" hidden="1" customHeight="1">
      <c r="B38" s="414"/>
      <c r="C38" s="415"/>
      <c r="D38" s="416"/>
      <c r="E38" s="417"/>
      <c r="F38" s="418"/>
      <c r="G38" s="418"/>
      <c r="H38" s="418"/>
      <c r="I38" s="418"/>
      <c r="J38" s="418"/>
      <c r="K38" s="3"/>
      <c r="L38" s="272"/>
      <c r="M38" s="41"/>
      <c r="N38" s="3"/>
      <c r="O38" s="3"/>
    </row>
    <row r="39" spans="2:15" ht="11.25" customHeight="1" thickBot="1">
      <c r="B39" s="449"/>
      <c r="C39" s="449"/>
      <c r="D39" s="449"/>
      <c r="E39" s="449"/>
      <c r="F39" s="449"/>
      <c r="G39" s="449"/>
      <c r="H39" s="449"/>
      <c r="I39" s="449"/>
      <c r="J39" s="449"/>
      <c r="K39" s="3"/>
      <c r="L39" s="3"/>
      <c r="M39" s="3"/>
      <c r="N39" s="3"/>
      <c r="O39" s="3"/>
    </row>
    <row r="40" spans="2:15" ht="27.75" customHeight="1">
      <c r="B40" s="494" t="s">
        <v>33</v>
      </c>
      <c r="C40" s="495"/>
      <c r="D40" s="495"/>
      <c r="E40" s="495"/>
      <c r="F40" s="495"/>
      <c r="G40" s="495"/>
      <c r="H40" s="495"/>
      <c r="I40" s="495"/>
      <c r="J40" s="496"/>
      <c r="K40" s="3"/>
      <c r="L40" s="3"/>
      <c r="M40" s="3"/>
      <c r="N40" s="3"/>
      <c r="O40" s="3"/>
    </row>
    <row r="41" spans="2:15" ht="61.5" customHeight="1" thickBot="1">
      <c r="B41" s="460" t="s">
        <v>11</v>
      </c>
      <c r="C41" s="461"/>
      <c r="D41" s="461"/>
      <c r="E41" s="355" t="str">
        <f xml:space="preserve"> 'Расчет программы'!$K$9</f>
        <v>Ежегодно</v>
      </c>
      <c r="F41" s="461" t="s">
        <v>10</v>
      </c>
      <c r="G41" s="461"/>
      <c r="H41" s="356">
        <f ca="1" xml:space="preserve"> IF(Н_Ошибок &gt; 0, "#Ошибки в исходных данных",
   Расчет!$I$46)</f>
        <v>18688.86</v>
      </c>
      <c r="I41" s="450"/>
      <c r="J41" s="451"/>
      <c r="K41" s="3"/>
      <c r="L41" s="3"/>
      <c r="M41" s="3"/>
      <c r="N41" s="3"/>
      <c r="O41" s="3"/>
    </row>
    <row r="42" spans="2:15" ht="36.75" customHeight="1">
      <c r="B42" s="23"/>
      <c r="C42" s="23"/>
      <c r="D42" s="23"/>
      <c r="E42" s="23"/>
      <c r="F42" s="23"/>
      <c r="G42" s="23"/>
      <c r="H42" s="23"/>
      <c r="I42" s="23"/>
      <c r="J42" s="23"/>
      <c r="K42" s="3"/>
      <c r="L42" s="3"/>
      <c r="M42" s="3"/>
      <c r="N42" s="3"/>
      <c r="O42" s="3"/>
    </row>
    <row r="43" spans="2:15" ht="17.25" customHeight="1">
      <c r="B43" s="490" t="s">
        <v>327</v>
      </c>
      <c r="C43" s="490"/>
      <c r="D43" s="490"/>
      <c r="E43" s="490"/>
      <c r="F43" s="490"/>
      <c r="G43" s="490"/>
      <c r="H43" s="490"/>
      <c r="I43" s="490"/>
      <c r="J43" s="490"/>
      <c r="K43" s="3"/>
      <c r="L43" s="3"/>
      <c r="M43" s="3"/>
      <c r="N43" s="3"/>
      <c r="O43" s="3"/>
    </row>
    <row r="44" spans="2:15" ht="15.75" customHeight="1">
      <c r="B44" s="490"/>
      <c r="C44" s="490"/>
      <c r="D44" s="490"/>
      <c r="E44" s="490"/>
      <c r="F44" s="490"/>
      <c r="G44" s="490"/>
      <c r="H44" s="490"/>
      <c r="I44" s="490"/>
      <c r="J44" s="490"/>
      <c r="K44" s="3"/>
      <c r="L44" s="3"/>
      <c r="M44" s="3"/>
      <c r="N44" s="3"/>
      <c r="O44" s="3"/>
    </row>
    <row r="45" spans="2:15" ht="15.75" customHeight="1">
      <c r="B45" s="490"/>
      <c r="C45" s="490"/>
      <c r="D45" s="490"/>
      <c r="E45" s="490"/>
      <c r="F45" s="490"/>
      <c r="G45" s="490"/>
      <c r="H45" s="490"/>
      <c r="I45" s="490"/>
      <c r="J45" s="490"/>
      <c r="K45" s="3"/>
      <c r="L45" s="3"/>
      <c r="M45" s="3"/>
      <c r="N45" s="3"/>
      <c r="O45" s="3"/>
    </row>
    <row r="46" spans="2:15" ht="15.75" customHeight="1">
      <c r="B46" s="490"/>
      <c r="C46" s="490"/>
      <c r="D46" s="490"/>
      <c r="E46" s="490"/>
      <c r="F46" s="490"/>
      <c r="G46" s="490"/>
      <c r="H46" s="490"/>
      <c r="I46" s="490"/>
      <c r="J46" s="490"/>
      <c r="K46" s="3"/>
      <c r="L46" s="3"/>
      <c r="M46" s="3"/>
      <c r="N46" s="3"/>
      <c r="O46" s="3"/>
    </row>
    <row r="47" spans="2:15" ht="15.75" customHeight="1">
      <c r="B47" s="490"/>
      <c r="C47" s="490"/>
      <c r="D47" s="490"/>
      <c r="E47" s="490"/>
      <c r="F47" s="490"/>
      <c r="G47" s="490"/>
      <c r="H47" s="490"/>
      <c r="I47" s="490"/>
      <c r="J47" s="490"/>
      <c r="K47" s="3"/>
      <c r="L47" s="3"/>
      <c r="M47" s="3"/>
      <c r="N47" s="3"/>
      <c r="O47" s="3"/>
    </row>
    <row r="48" spans="2:15" ht="15.75" customHeight="1">
      <c r="B48" s="42"/>
      <c r="C48" s="42"/>
      <c r="D48" s="42"/>
      <c r="E48" s="42"/>
      <c r="F48" s="42"/>
      <c r="G48" s="244"/>
      <c r="H48" s="244"/>
      <c r="I48" s="244"/>
      <c r="J48" s="244"/>
      <c r="K48" s="3"/>
      <c r="L48" s="3"/>
      <c r="M48" s="3"/>
      <c r="N48" s="3"/>
      <c r="O48" s="3"/>
    </row>
    <row r="49" spans="2:15" ht="15.75" customHeight="1">
      <c r="B49" s="42"/>
      <c r="C49" s="42"/>
      <c r="D49" s="42"/>
      <c r="E49" s="42"/>
      <c r="F49" s="42"/>
      <c r="G49" s="244"/>
      <c r="H49" s="244"/>
      <c r="I49" s="244"/>
      <c r="J49" s="244"/>
      <c r="K49" s="3"/>
      <c r="L49" s="3"/>
      <c r="M49" s="3"/>
      <c r="N49" s="3"/>
      <c r="O49" s="3"/>
    </row>
    <row r="50" spans="2:15" ht="15" customHeight="1">
      <c r="B50" s="42"/>
      <c r="C50" s="42"/>
      <c r="D50" s="42"/>
      <c r="E50" s="42"/>
      <c r="F50" s="21"/>
      <c r="G50" s="22"/>
      <c r="H50" s="22"/>
      <c r="I50" s="22"/>
      <c r="J50" s="22"/>
      <c r="K50" s="3"/>
      <c r="L50" s="3"/>
      <c r="M50" s="3"/>
      <c r="N50" s="3"/>
      <c r="O50" s="3"/>
    </row>
    <row r="51" spans="2:15">
      <c r="B51" s="21"/>
      <c r="C51" s="21"/>
      <c r="D51" s="21"/>
      <c r="E51" s="21"/>
      <c r="F51" s="21"/>
      <c r="G51" s="20"/>
      <c r="H51" s="20"/>
      <c r="I51" s="20"/>
      <c r="J51" s="20"/>
      <c r="K51" s="3"/>
      <c r="L51" s="3"/>
      <c r="M51" s="3"/>
      <c r="N51" s="3"/>
      <c r="O51" s="3"/>
    </row>
    <row r="52" spans="2:15">
      <c r="B52" s="21"/>
      <c r="C52" s="21"/>
      <c r="D52" s="21"/>
      <c r="E52" s="21"/>
      <c r="F52" s="21"/>
      <c r="G52" s="20"/>
      <c r="H52" s="20"/>
      <c r="I52" s="20"/>
      <c r="J52" s="20"/>
      <c r="K52" s="3"/>
      <c r="L52" s="3"/>
      <c r="M52" s="3"/>
      <c r="N52" s="3"/>
      <c r="O52" s="3"/>
    </row>
    <row r="53" spans="2:15">
      <c r="B53" s="20"/>
      <c r="C53" s="20"/>
      <c r="D53" s="20"/>
      <c r="E53" s="20"/>
      <c r="F53" s="20"/>
      <c r="G53" s="20"/>
      <c r="H53" s="20"/>
      <c r="I53" s="20"/>
      <c r="J53" s="20"/>
      <c r="K53" s="3"/>
      <c r="L53" s="3"/>
      <c r="M53" s="3"/>
      <c r="N53" s="3"/>
      <c r="O53" s="3"/>
    </row>
    <row r="54" spans="2:15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</row>
    <row r="55" spans="2:15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</row>
    <row r="56" spans="2:15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</row>
    <row r="57" spans="2:15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</row>
    <row r="58" spans="2:15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</row>
    <row r="59" spans="2:15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</row>
    <row r="60" spans="2:15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</row>
    <row r="61" spans="2:15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</row>
    <row r="62" spans="2:15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</row>
    <row r="63" spans="2:15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</row>
    <row r="64" spans="2:15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</row>
    <row r="65" spans="2:15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</row>
    <row r="66" spans="2:15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</row>
    <row r="67" spans="2:15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</row>
    <row r="68" spans="2:15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</row>
    <row r="69" spans="2:15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</row>
    <row r="70" spans="2:15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</row>
    <row r="71" spans="2:15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</row>
    <row r="72" spans="2:15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</row>
    <row r="73" spans="2:15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</row>
    <row r="74" spans="2:15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</row>
    <row r="75" spans="2:15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</row>
    <row r="76" spans="2:15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2:15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2:15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</row>
    <row r="79" spans="2:15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</row>
    <row r="80" spans="2:15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</row>
    <row r="81" spans="2:15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</row>
    <row r="82" spans="2:15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</row>
    <row r="83" spans="2:15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</row>
    <row r="84" spans="2:15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</row>
    <row r="85" spans="2:15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</row>
    <row r="86" spans="2:15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</row>
    <row r="87" spans="2:15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</row>
    <row r="88" spans="2:15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</row>
    <row r="89" spans="2:15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</row>
    <row r="90" spans="2:15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</row>
    <row r="91" spans="2:15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2:15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  <row r="93" spans="2:15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</row>
    <row r="94" spans="2:15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</row>
    <row r="95" spans="2:15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</row>
    <row r="96" spans="2:15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</row>
    <row r="97" spans="2:1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</row>
    <row r="98" spans="2:15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</row>
    <row r="99" spans="2:15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</row>
    <row r="100" spans="2:15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</row>
    <row r="101" spans="2:1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</row>
    <row r="102" spans="2:1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</row>
  </sheetData>
  <sheetProtection selectLockedCells="1"/>
  <mergeCells count="48">
    <mergeCell ref="I24:J24"/>
    <mergeCell ref="F24:G25"/>
    <mergeCell ref="F27:G27"/>
    <mergeCell ref="B43:J47"/>
    <mergeCell ref="B26:J26"/>
    <mergeCell ref="B30:J30"/>
    <mergeCell ref="B32:J32"/>
    <mergeCell ref="F41:G41"/>
    <mergeCell ref="B40:J40"/>
    <mergeCell ref="F28:G28"/>
    <mergeCell ref="F31:G31"/>
    <mergeCell ref="B24:D25"/>
    <mergeCell ref="B35:J35"/>
    <mergeCell ref="B36:J36"/>
    <mergeCell ref="C37:J37"/>
    <mergeCell ref="B39:J39"/>
    <mergeCell ref="F20:G20"/>
    <mergeCell ref="B18:D19"/>
    <mergeCell ref="B20:D20"/>
    <mergeCell ref="E18:E19"/>
    <mergeCell ref="C4:J4"/>
    <mergeCell ref="H18:H19"/>
    <mergeCell ref="I18:J18"/>
    <mergeCell ref="B13:C13"/>
    <mergeCell ref="B14:C14"/>
    <mergeCell ref="B15:C15"/>
    <mergeCell ref="F18:G19"/>
    <mergeCell ref="B5:J5"/>
    <mergeCell ref="B11:J11"/>
    <mergeCell ref="B7:J7"/>
    <mergeCell ref="B9:J9"/>
    <mergeCell ref="B17:J17"/>
    <mergeCell ref="B23:J23"/>
    <mergeCell ref="B21:D21"/>
    <mergeCell ref="B22:J22"/>
    <mergeCell ref="I41:J41"/>
    <mergeCell ref="B34:J34"/>
    <mergeCell ref="B27:D27"/>
    <mergeCell ref="B28:D28"/>
    <mergeCell ref="B31:D31"/>
    <mergeCell ref="B29:D29"/>
    <mergeCell ref="F29:G29"/>
    <mergeCell ref="F21:G21"/>
    <mergeCell ref="B33:D33"/>
    <mergeCell ref="B41:D41"/>
    <mergeCell ref="E33:J33"/>
    <mergeCell ref="E24:E25"/>
    <mergeCell ref="H24:H25"/>
  </mergeCells>
  <conditionalFormatting sqref="B1:J3 C4 B4:B5 B51:J1048576 B43 F50:J50 F48:G49 B34:J34 B33:E33 B6:J32 B40:J42">
    <cfRule type="expression" dxfId="2" priority="19">
      <formula xml:space="preserve"> SEARCH("#Ошибки", B1) &gt; 0</formula>
    </cfRule>
  </conditionalFormatting>
  <conditionalFormatting sqref="B39:J39 B38:E38 B36 B37:C37">
    <cfRule type="expression" dxfId="1" priority="2">
      <formula xml:space="preserve"> SEARCH("#Ошибки", B36) &gt; 0</formula>
    </cfRule>
  </conditionalFormatting>
  <conditionalFormatting sqref="B35:J35">
    <cfRule type="expression" dxfId="0" priority="1">
      <formula xml:space="preserve"> SEARCH("#Ошибки", B35) &gt; 0</formula>
    </cfRule>
  </conditionalFormatting>
  <pageMargins left="0.25" right="0.25" top="0.75" bottom="0.75" header="0.3" footer="0.3"/>
  <pageSetup paperSize="9" scale="51" fitToHeight="0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Ref_Regions">
    <tabColor rgb="FFFFFF00"/>
  </sheetPr>
  <dimension ref="B1:J176"/>
  <sheetViews>
    <sheetView showGridLines="0" topLeftCell="E1" workbookViewId="0">
      <selection activeCell="G24" sqref="G24"/>
    </sheetView>
  </sheetViews>
  <sheetFormatPr defaultColWidth="9.140625" defaultRowHeight="12.75"/>
  <cols>
    <col min="1" max="1" width="2.85546875" style="364" customWidth="1"/>
    <col min="2" max="2" width="15.5703125" style="364" bestFit="1" customWidth="1"/>
    <col min="3" max="3" width="55.42578125" style="364" bestFit="1" customWidth="1"/>
    <col min="4" max="4" width="68.5703125" style="364" bestFit="1" customWidth="1"/>
    <col min="5" max="5" width="71.5703125" style="364" bestFit="1" customWidth="1"/>
    <col min="6" max="6" width="9.85546875" style="364" bestFit="1" customWidth="1"/>
    <col min="7" max="7" width="36.140625" style="364" bestFit="1" customWidth="1"/>
    <col min="8" max="8" width="9.140625" style="364"/>
    <col min="9" max="9" width="15.5703125" style="364" bestFit="1" customWidth="1"/>
    <col min="10" max="10" width="17.42578125" style="364" customWidth="1"/>
    <col min="11" max="16384" width="9.140625" style="364"/>
  </cols>
  <sheetData>
    <row r="1" spans="2:10" ht="13.5" thickBot="1">
      <c r="D1" s="412"/>
    </row>
    <row r="2" spans="2:10" ht="13.5" thickBot="1">
      <c r="B2" s="411" t="s">
        <v>623</v>
      </c>
      <c r="C2" s="410" t="s">
        <v>622</v>
      </c>
      <c r="D2" s="410" t="s">
        <v>621</v>
      </c>
      <c r="E2" s="409" t="s">
        <v>620</v>
      </c>
      <c r="I2" s="408" t="s">
        <v>619</v>
      </c>
      <c r="J2" s="408" t="s">
        <v>618</v>
      </c>
    </row>
    <row r="3" spans="2:10" s="378" customFormat="1">
      <c r="B3" s="548" t="s">
        <v>608</v>
      </c>
      <c r="C3" s="551" t="s">
        <v>617</v>
      </c>
      <c r="D3" s="554" t="s">
        <v>616</v>
      </c>
      <c r="E3" s="407" t="s">
        <v>615</v>
      </c>
      <c r="I3" s="406" t="s">
        <v>614</v>
      </c>
      <c r="J3" s="406" t="s">
        <v>613</v>
      </c>
    </row>
    <row r="4" spans="2:10" s="378" customFormat="1">
      <c r="B4" s="549"/>
      <c r="C4" s="552"/>
      <c r="D4" s="555"/>
      <c r="E4" s="405" t="s">
        <v>612</v>
      </c>
      <c r="I4" s="394" t="s">
        <v>446</v>
      </c>
      <c r="J4" s="394" t="s">
        <v>611</v>
      </c>
    </row>
    <row r="5" spans="2:10" s="378" customFormat="1">
      <c r="B5" s="549"/>
      <c r="C5" s="552"/>
      <c r="D5" s="555"/>
      <c r="E5" s="369" t="s">
        <v>610</v>
      </c>
      <c r="I5" s="394" t="s">
        <v>409</v>
      </c>
      <c r="J5" s="394" t="s">
        <v>609</v>
      </c>
    </row>
    <row r="6" spans="2:10" s="378" customFormat="1" ht="13.5" thickBot="1">
      <c r="B6" s="550"/>
      <c r="C6" s="553"/>
      <c r="D6" s="556"/>
      <c r="E6" s="368" t="s">
        <v>369</v>
      </c>
      <c r="I6" s="395" t="s">
        <v>608</v>
      </c>
      <c r="J6" s="395" t="s">
        <v>607</v>
      </c>
    </row>
    <row r="7" spans="2:10">
      <c r="B7" s="511" t="s">
        <v>603</v>
      </c>
      <c r="C7" s="513" t="s">
        <v>606</v>
      </c>
      <c r="D7" s="515" t="s">
        <v>605</v>
      </c>
      <c r="E7" s="404" t="s">
        <v>604</v>
      </c>
      <c r="I7" s="394" t="s">
        <v>603</v>
      </c>
      <c r="J7" s="394" t="s">
        <v>602</v>
      </c>
    </row>
    <row r="8" spans="2:10">
      <c r="B8" s="517"/>
      <c r="C8" s="518"/>
      <c r="D8" s="519"/>
      <c r="E8" s="403" t="s">
        <v>601</v>
      </c>
      <c r="I8" s="394" t="s">
        <v>345</v>
      </c>
      <c r="J8" s="394" t="s">
        <v>600</v>
      </c>
    </row>
    <row r="9" spans="2:10">
      <c r="B9" s="517"/>
      <c r="C9" s="518"/>
      <c r="D9" s="519"/>
      <c r="E9" s="369" t="s">
        <v>599</v>
      </c>
      <c r="I9" s="395" t="s">
        <v>495</v>
      </c>
      <c r="J9" s="395" t="s">
        <v>598</v>
      </c>
    </row>
    <row r="10" spans="2:10" ht="13.5" thickBot="1">
      <c r="B10" s="512"/>
      <c r="C10" s="514"/>
      <c r="D10" s="516"/>
      <c r="E10" s="368" t="s">
        <v>355</v>
      </c>
      <c r="I10" s="394" t="s">
        <v>596</v>
      </c>
      <c r="J10" s="394" t="s">
        <v>597</v>
      </c>
    </row>
    <row r="11" spans="2:10">
      <c r="B11" s="505" t="s">
        <v>596</v>
      </c>
      <c r="C11" s="508" t="s">
        <v>595</v>
      </c>
      <c r="D11" s="546" t="s">
        <v>594</v>
      </c>
      <c r="E11" s="381" t="s">
        <v>431</v>
      </c>
      <c r="I11" s="394" t="s">
        <v>398</v>
      </c>
      <c r="J11" s="394" t="s">
        <v>593</v>
      </c>
    </row>
    <row r="12" spans="2:10">
      <c r="B12" s="506"/>
      <c r="C12" s="509"/>
      <c r="D12" s="527"/>
      <c r="E12" s="392" t="s">
        <v>592</v>
      </c>
      <c r="I12" s="394" t="s">
        <v>583</v>
      </c>
      <c r="J12" s="394" t="s">
        <v>591</v>
      </c>
    </row>
    <row r="13" spans="2:10">
      <c r="B13" s="506"/>
      <c r="C13" s="509"/>
      <c r="D13" s="527"/>
      <c r="E13" s="402" t="s">
        <v>590</v>
      </c>
      <c r="I13" s="394" t="s">
        <v>385</v>
      </c>
      <c r="J13" s="394" t="s">
        <v>589</v>
      </c>
    </row>
    <row r="14" spans="2:10">
      <c r="B14" s="506"/>
      <c r="C14" s="509"/>
      <c r="D14" s="527"/>
      <c r="E14" s="369" t="s">
        <v>588</v>
      </c>
      <c r="I14" s="394" t="s">
        <v>562</v>
      </c>
      <c r="J14" s="394" t="s">
        <v>562</v>
      </c>
    </row>
    <row r="15" spans="2:10">
      <c r="B15" s="506"/>
      <c r="C15" s="509"/>
      <c r="D15" s="527"/>
      <c r="E15" s="369" t="s">
        <v>587</v>
      </c>
      <c r="I15" s="395" t="s">
        <v>484</v>
      </c>
      <c r="J15" s="395" t="s">
        <v>586</v>
      </c>
    </row>
    <row r="16" spans="2:10" ht="13.5" thickBot="1">
      <c r="B16" s="507"/>
      <c r="C16" s="510"/>
      <c r="D16" s="547"/>
      <c r="E16" s="368" t="s">
        <v>585</v>
      </c>
      <c r="I16" s="395" t="s">
        <v>551</v>
      </c>
      <c r="J16" s="395" t="s">
        <v>584</v>
      </c>
    </row>
    <row r="17" spans="2:10">
      <c r="B17" s="511" t="s">
        <v>583</v>
      </c>
      <c r="C17" s="513" t="s">
        <v>582</v>
      </c>
      <c r="D17" s="515" t="s">
        <v>581</v>
      </c>
      <c r="E17" s="392" t="s">
        <v>580</v>
      </c>
      <c r="I17" s="394" t="s">
        <v>476</v>
      </c>
      <c r="J17" s="394" t="s">
        <v>579</v>
      </c>
    </row>
    <row r="18" spans="2:10">
      <c r="B18" s="517"/>
      <c r="C18" s="518"/>
      <c r="D18" s="519"/>
      <c r="E18" s="392" t="s">
        <v>578</v>
      </c>
      <c r="I18" s="394" t="s">
        <v>365</v>
      </c>
      <c r="J18" s="394" t="s">
        <v>577</v>
      </c>
    </row>
    <row r="19" spans="2:10" ht="13.5" thickBot="1">
      <c r="B19" s="517"/>
      <c r="C19" s="518"/>
      <c r="D19" s="519"/>
      <c r="E19" s="401" t="s">
        <v>437</v>
      </c>
      <c r="I19" s="394" t="s">
        <v>468</v>
      </c>
      <c r="J19" s="394" t="s">
        <v>576</v>
      </c>
    </row>
    <row r="20" spans="2:10">
      <c r="B20" s="517"/>
      <c r="C20" s="518"/>
      <c r="D20" s="519"/>
      <c r="E20" s="399" t="s">
        <v>575</v>
      </c>
      <c r="I20" s="394" t="s">
        <v>373</v>
      </c>
      <c r="J20" s="394" t="s">
        <v>574</v>
      </c>
    </row>
    <row r="21" spans="2:10">
      <c r="B21" s="517"/>
      <c r="C21" s="518"/>
      <c r="D21" s="519"/>
      <c r="E21" s="369" t="s">
        <v>573</v>
      </c>
      <c r="I21" s="394" t="s">
        <v>378</v>
      </c>
      <c r="J21" s="394" t="s">
        <v>572</v>
      </c>
    </row>
    <row r="22" spans="2:10">
      <c r="B22" s="517"/>
      <c r="C22" s="518"/>
      <c r="D22" s="519"/>
      <c r="E22" s="369" t="s">
        <v>571</v>
      </c>
      <c r="I22" s="395" t="s">
        <v>537</v>
      </c>
      <c r="J22" s="395" t="s">
        <v>570</v>
      </c>
    </row>
    <row r="23" spans="2:10">
      <c r="B23" s="517"/>
      <c r="C23" s="518"/>
      <c r="D23" s="519"/>
      <c r="E23" s="369" t="s">
        <v>569</v>
      </c>
      <c r="I23" s="394" t="s">
        <v>460</v>
      </c>
      <c r="J23" s="394" t="s">
        <v>568</v>
      </c>
    </row>
    <row r="24" spans="2:10">
      <c r="B24" s="517"/>
      <c r="C24" s="518"/>
      <c r="D24" s="519"/>
      <c r="E24" s="369" t="s">
        <v>354</v>
      </c>
      <c r="I24" s="394" t="s">
        <v>454</v>
      </c>
      <c r="J24" s="394" t="s">
        <v>567</v>
      </c>
    </row>
    <row r="25" spans="2:10">
      <c r="B25" s="517"/>
      <c r="C25" s="518"/>
      <c r="D25" s="519"/>
      <c r="E25" s="369" t="s">
        <v>566</v>
      </c>
      <c r="I25" s="394" t="s">
        <v>353</v>
      </c>
      <c r="J25" s="394" t="s">
        <v>565</v>
      </c>
    </row>
    <row r="26" spans="2:10" ht="13.5" thickBot="1">
      <c r="B26" s="512"/>
      <c r="C26" s="514"/>
      <c r="D26" s="516"/>
      <c r="E26" s="398" t="s">
        <v>564</v>
      </c>
      <c r="I26" s="395" t="s">
        <v>532</v>
      </c>
      <c r="J26" s="395" t="s">
        <v>563</v>
      </c>
    </row>
    <row r="27" spans="2:10" ht="13.5" thickBot="1">
      <c r="B27" s="511" t="s">
        <v>562</v>
      </c>
      <c r="C27" s="513" t="s">
        <v>561</v>
      </c>
      <c r="D27" s="515" t="s">
        <v>560</v>
      </c>
      <c r="E27" s="400" t="s">
        <v>559</v>
      </c>
      <c r="I27" s="394" t="s">
        <v>360</v>
      </c>
      <c r="J27" s="394" t="s">
        <v>558</v>
      </c>
    </row>
    <row r="28" spans="2:10">
      <c r="B28" s="517"/>
      <c r="C28" s="518"/>
      <c r="D28" s="519"/>
      <c r="E28" s="399" t="s">
        <v>557</v>
      </c>
      <c r="I28" s="394" t="s">
        <v>426</v>
      </c>
      <c r="J28" s="394" t="s">
        <v>556</v>
      </c>
    </row>
    <row r="29" spans="2:10">
      <c r="B29" s="517"/>
      <c r="C29" s="518"/>
      <c r="D29" s="519"/>
      <c r="E29" s="369" t="s">
        <v>555</v>
      </c>
      <c r="I29" s="395" t="s">
        <v>522</v>
      </c>
      <c r="J29" s="395" t="s">
        <v>554</v>
      </c>
    </row>
    <row r="30" spans="2:10" ht="13.5" thickBot="1">
      <c r="B30" s="512"/>
      <c r="C30" s="514"/>
      <c r="D30" s="516"/>
      <c r="E30" s="398" t="s">
        <v>553</v>
      </c>
      <c r="I30" s="395" t="s">
        <v>515</v>
      </c>
      <c r="J30" s="395" t="s">
        <v>552</v>
      </c>
    </row>
    <row r="31" spans="2:10" s="378" customFormat="1">
      <c r="B31" s="511" t="s">
        <v>551</v>
      </c>
      <c r="C31" s="513" t="s">
        <v>550</v>
      </c>
      <c r="D31" s="513" t="s">
        <v>549</v>
      </c>
      <c r="E31" s="397" t="s">
        <v>548</v>
      </c>
      <c r="I31" s="394" t="s">
        <v>421</v>
      </c>
      <c r="J31" s="394" t="s">
        <v>547</v>
      </c>
    </row>
    <row r="32" spans="2:10" s="378" customFormat="1">
      <c r="B32" s="517"/>
      <c r="C32" s="518"/>
      <c r="D32" s="518"/>
      <c r="E32" s="396" t="s">
        <v>546</v>
      </c>
      <c r="I32" s="395" t="s">
        <v>506</v>
      </c>
      <c r="J32" s="395" t="s">
        <v>545</v>
      </c>
    </row>
    <row r="33" spans="2:10" s="378" customFormat="1">
      <c r="B33" s="517"/>
      <c r="C33" s="518"/>
      <c r="D33" s="518"/>
      <c r="E33" s="369" t="s">
        <v>369</v>
      </c>
      <c r="I33" s="394" t="s">
        <v>415</v>
      </c>
      <c r="J33" s="394" t="s">
        <v>544</v>
      </c>
    </row>
    <row r="34" spans="2:10" s="378" customFormat="1">
      <c r="B34" s="517"/>
      <c r="C34" s="518"/>
      <c r="D34" s="518"/>
      <c r="E34" s="369" t="s">
        <v>543</v>
      </c>
      <c r="I34" s="393" t="s">
        <v>392</v>
      </c>
      <c r="J34" s="393" t="s">
        <v>542</v>
      </c>
    </row>
    <row r="35" spans="2:10" s="378" customFormat="1">
      <c r="B35" s="517"/>
      <c r="C35" s="518"/>
      <c r="D35" s="518"/>
      <c r="E35" s="369" t="s">
        <v>541</v>
      </c>
    </row>
    <row r="36" spans="2:10" s="378" customFormat="1">
      <c r="B36" s="517"/>
      <c r="C36" s="518"/>
      <c r="D36" s="518"/>
      <c r="E36" s="369" t="s">
        <v>540</v>
      </c>
    </row>
    <row r="37" spans="2:10" s="378" customFormat="1">
      <c r="B37" s="517"/>
      <c r="C37" s="518"/>
      <c r="D37" s="518"/>
      <c r="E37" s="369" t="s">
        <v>539</v>
      </c>
    </row>
    <row r="38" spans="2:10" s="378" customFormat="1" ht="13.5" thickBot="1">
      <c r="B38" s="512"/>
      <c r="C38" s="514"/>
      <c r="D38" s="514"/>
      <c r="E38" s="368" t="s">
        <v>538</v>
      </c>
      <c r="I38" s="364"/>
    </row>
    <row r="39" spans="2:10" s="378" customFormat="1">
      <c r="B39" s="511" t="s">
        <v>537</v>
      </c>
      <c r="C39" s="513" t="s">
        <v>536</v>
      </c>
      <c r="D39" s="515" t="s">
        <v>535</v>
      </c>
      <c r="E39" s="381" t="s">
        <v>534</v>
      </c>
      <c r="I39" s="364"/>
    </row>
    <row r="40" spans="2:10" s="378" customFormat="1">
      <c r="B40" s="517"/>
      <c r="C40" s="518"/>
      <c r="D40" s="519"/>
      <c r="E40" s="392" t="s">
        <v>431</v>
      </c>
      <c r="I40" s="364"/>
    </row>
    <row r="41" spans="2:10" s="378" customFormat="1">
      <c r="B41" s="517"/>
      <c r="C41" s="518"/>
      <c r="D41" s="519"/>
      <c r="E41" s="369" t="s">
        <v>450</v>
      </c>
      <c r="I41" s="364"/>
    </row>
    <row r="42" spans="2:10" s="378" customFormat="1">
      <c r="B42" s="517"/>
      <c r="C42" s="518"/>
      <c r="D42" s="519"/>
      <c r="E42" s="369" t="s">
        <v>369</v>
      </c>
      <c r="I42" s="364"/>
    </row>
    <row r="43" spans="2:10" s="378" customFormat="1" ht="13.5" thickBot="1">
      <c r="B43" s="512"/>
      <c r="C43" s="514"/>
      <c r="D43" s="516"/>
      <c r="E43" s="368" t="s">
        <v>533</v>
      </c>
      <c r="I43" s="364"/>
    </row>
    <row r="44" spans="2:10" s="378" customFormat="1">
      <c r="B44" s="511" t="s">
        <v>532</v>
      </c>
      <c r="C44" s="513" t="s">
        <v>531</v>
      </c>
      <c r="D44" s="515" t="s">
        <v>530</v>
      </c>
      <c r="E44" s="371" t="s">
        <v>529</v>
      </c>
      <c r="I44" s="364"/>
    </row>
    <row r="45" spans="2:10" s="378" customFormat="1">
      <c r="B45" s="517"/>
      <c r="C45" s="518"/>
      <c r="D45" s="519"/>
      <c r="E45" s="391" t="s">
        <v>528</v>
      </c>
      <c r="I45" s="364"/>
    </row>
    <row r="46" spans="2:10" s="378" customFormat="1">
      <c r="B46" s="517"/>
      <c r="C46" s="518"/>
      <c r="D46" s="519"/>
      <c r="E46" s="391" t="s">
        <v>527</v>
      </c>
      <c r="I46" s="364"/>
    </row>
    <row r="47" spans="2:10" s="378" customFormat="1">
      <c r="B47" s="517"/>
      <c r="C47" s="518"/>
      <c r="D47" s="519"/>
      <c r="E47" s="369" t="s">
        <v>369</v>
      </c>
      <c r="I47" s="364"/>
    </row>
    <row r="48" spans="2:10" s="378" customFormat="1">
      <c r="B48" s="517"/>
      <c r="C48" s="518"/>
      <c r="D48" s="519"/>
      <c r="E48" s="369" t="s">
        <v>526</v>
      </c>
      <c r="I48" s="364"/>
    </row>
    <row r="49" spans="2:9" s="378" customFormat="1">
      <c r="B49" s="517"/>
      <c r="C49" s="518"/>
      <c r="D49" s="519"/>
      <c r="E49" s="369" t="s">
        <v>525</v>
      </c>
      <c r="I49" s="364"/>
    </row>
    <row r="50" spans="2:9" s="378" customFormat="1">
      <c r="B50" s="517"/>
      <c r="C50" s="518"/>
      <c r="D50" s="519"/>
      <c r="E50" s="369" t="s">
        <v>524</v>
      </c>
      <c r="I50" s="364"/>
    </row>
    <row r="51" spans="2:9" s="378" customFormat="1" ht="13.5" thickBot="1">
      <c r="B51" s="512"/>
      <c r="C51" s="514"/>
      <c r="D51" s="516"/>
      <c r="E51" s="368" t="s">
        <v>523</v>
      </c>
      <c r="I51" s="364"/>
    </row>
    <row r="52" spans="2:9" s="378" customFormat="1">
      <c r="B52" s="505" t="s">
        <v>522</v>
      </c>
      <c r="C52" s="508" t="s">
        <v>521</v>
      </c>
      <c r="D52" s="508" t="s">
        <v>520</v>
      </c>
      <c r="E52" s="371" t="s">
        <v>519</v>
      </c>
      <c r="I52" s="364"/>
    </row>
    <row r="53" spans="2:9" s="378" customFormat="1">
      <c r="B53" s="506"/>
      <c r="C53" s="509"/>
      <c r="D53" s="509"/>
      <c r="E53" s="370" t="s">
        <v>518</v>
      </c>
      <c r="I53" s="364"/>
    </row>
    <row r="54" spans="2:9" s="378" customFormat="1">
      <c r="B54" s="506"/>
      <c r="C54" s="509"/>
      <c r="D54" s="509"/>
      <c r="E54" s="369" t="s">
        <v>450</v>
      </c>
      <c r="I54" s="364"/>
    </row>
    <row r="55" spans="2:9" s="378" customFormat="1">
      <c r="B55" s="506"/>
      <c r="C55" s="509"/>
      <c r="D55" s="509"/>
      <c r="E55" s="369" t="s">
        <v>517</v>
      </c>
      <c r="I55" s="364"/>
    </row>
    <row r="56" spans="2:9" s="378" customFormat="1">
      <c r="B56" s="506"/>
      <c r="C56" s="509"/>
      <c r="D56" s="509"/>
      <c r="E56" s="368" t="s">
        <v>516</v>
      </c>
      <c r="I56" s="364"/>
    </row>
    <row r="57" spans="2:9" s="378" customFormat="1">
      <c r="B57" s="544" t="s">
        <v>515</v>
      </c>
      <c r="C57" s="544" t="s">
        <v>514</v>
      </c>
      <c r="D57" s="544" t="s">
        <v>513</v>
      </c>
      <c r="E57" s="390" t="s">
        <v>512</v>
      </c>
      <c r="I57" s="364"/>
    </row>
    <row r="58" spans="2:9" s="378" customFormat="1">
      <c r="B58" s="509"/>
      <c r="C58" s="509"/>
      <c r="D58" s="509"/>
      <c r="E58" s="389" t="s">
        <v>431</v>
      </c>
    </row>
    <row r="59" spans="2:9" s="378" customFormat="1">
      <c r="B59" s="509"/>
      <c r="C59" s="509"/>
      <c r="D59" s="509"/>
      <c r="E59" s="389" t="s">
        <v>437</v>
      </c>
    </row>
    <row r="60" spans="2:9" s="378" customFormat="1">
      <c r="B60" s="509"/>
      <c r="C60" s="509"/>
      <c r="D60" s="509"/>
      <c r="E60" s="388" t="s">
        <v>511</v>
      </c>
    </row>
    <row r="61" spans="2:9" s="378" customFormat="1">
      <c r="B61" s="509"/>
      <c r="C61" s="509"/>
      <c r="D61" s="509"/>
      <c r="E61" s="388" t="s">
        <v>510</v>
      </c>
    </row>
    <row r="62" spans="2:9" s="378" customFormat="1">
      <c r="B62" s="509"/>
      <c r="C62" s="509"/>
      <c r="D62" s="509"/>
      <c r="E62" s="388" t="s">
        <v>509</v>
      </c>
    </row>
    <row r="63" spans="2:9" s="378" customFormat="1">
      <c r="B63" s="509"/>
      <c r="C63" s="509"/>
      <c r="D63" s="509"/>
      <c r="E63" s="388" t="s">
        <v>508</v>
      </c>
    </row>
    <row r="64" spans="2:9" s="378" customFormat="1">
      <c r="B64" s="509"/>
      <c r="C64" s="509"/>
      <c r="D64" s="509"/>
      <c r="E64" s="388" t="s">
        <v>507</v>
      </c>
    </row>
    <row r="65" spans="2:5" s="378" customFormat="1">
      <c r="B65" s="545"/>
      <c r="C65" s="545"/>
      <c r="D65" s="545"/>
      <c r="E65" s="387" t="s">
        <v>369</v>
      </c>
    </row>
    <row r="66" spans="2:5" s="378" customFormat="1">
      <c r="B66" s="542" t="s">
        <v>506</v>
      </c>
      <c r="C66" s="542" t="s">
        <v>505</v>
      </c>
      <c r="D66" s="542" t="s">
        <v>504</v>
      </c>
      <c r="E66" s="386" t="s">
        <v>503</v>
      </c>
    </row>
    <row r="67" spans="2:5" s="378" customFormat="1">
      <c r="B67" s="542"/>
      <c r="C67" s="542"/>
      <c r="D67" s="542"/>
      <c r="E67" s="386" t="s">
        <v>502</v>
      </c>
    </row>
    <row r="68" spans="2:5" s="378" customFormat="1">
      <c r="B68" s="542"/>
      <c r="C68" s="542"/>
      <c r="D68" s="542"/>
      <c r="E68" s="386" t="s">
        <v>501</v>
      </c>
    </row>
    <row r="69" spans="2:5" s="378" customFormat="1">
      <c r="B69" s="542"/>
      <c r="C69" s="542"/>
      <c r="D69" s="542"/>
      <c r="E69" s="386" t="s">
        <v>500</v>
      </c>
    </row>
    <row r="70" spans="2:5" s="378" customFormat="1">
      <c r="B70" s="542"/>
      <c r="C70" s="542"/>
      <c r="D70" s="542"/>
      <c r="E70" s="386" t="s">
        <v>499</v>
      </c>
    </row>
    <row r="71" spans="2:5" s="378" customFormat="1">
      <c r="B71" s="542"/>
      <c r="C71" s="542"/>
      <c r="D71" s="542"/>
      <c r="E71" s="385" t="s">
        <v>498</v>
      </c>
    </row>
    <row r="72" spans="2:5" s="378" customFormat="1">
      <c r="B72" s="542"/>
      <c r="C72" s="542"/>
      <c r="D72" s="542"/>
      <c r="E72" s="385" t="s">
        <v>367</v>
      </c>
    </row>
    <row r="73" spans="2:5" s="378" customFormat="1">
      <c r="B73" s="542"/>
      <c r="C73" s="542"/>
      <c r="D73" s="542"/>
      <c r="E73" s="382" t="s">
        <v>497</v>
      </c>
    </row>
    <row r="74" spans="2:5" s="378" customFormat="1" ht="13.5" thickBot="1">
      <c r="B74" s="542"/>
      <c r="C74" s="542"/>
      <c r="D74" s="542"/>
      <c r="E74" s="384" t="s">
        <v>496</v>
      </c>
    </row>
    <row r="75" spans="2:5" s="378" customFormat="1">
      <c r="B75" s="543" t="s">
        <v>495</v>
      </c>
      <c r="C75" s="543" t="s">
        <v>494</v>
      </c>
      <c r="D75" s="543" t="s">
        <v>493</v>
      </c>
      <c r="E75" s="383" t="s">
        <v>492</v>
      </c>
    </row>
    <row r="76" spans="2:5" s="378" customFormat="1">
      <c r="B76" s="543"/>
      <c r="C76" s="543"/>
      <c r="D76" s="543"/>
      <c r="E76" s="382" t="s">
        <v>491</v>
      </c>
    </row>
    <row r="77" spans="2:5" s="378" customFormat="1">
      <c r="B77" s="543"/>
      <c r="C77" s="543"/>
      <c r="D77" s="543"/>
      <c r="E77" s="382" t="s">
        <v>490</v>
      </c>
    </row>
    <row r="78" spans="2:5" s="378" customFormat="1">
      <c r="B78" s="543"/>
      <c r="C78" s="543"/>
      <c r="D78" s="543"/>
      <c r="E78" s="382" t="s">
        <v>489</v>
      </c>
    </row>
    <row r="79" spans="2:5" s="378" customFormat="1">
      <c r="B79" s="543"/>
      <c r="C79" s="543"/>
      <c r="D79" s="543"/>
      <c r="E79" s="382" t="s">
        <v>488</v>
      </c>
    </row>
    <row r="80" spans="2:5" s="378" customFormat="1">
      <c r="B80" s="543"/>
      <c r="C80" s="543"/>
      <c r="D80" s="543"/>
      <c r="E80" s="382" t="s">
        <v>487</v>
      </c>
    </row>
    <row r="81" spans="2:10" s="378" customFormat="1">
      <c r="B81" s="543"/>
      <c r="C81" s="543"/>
      <c r="D81" s="543"/>
      <c r="E81" s="382" t="s">
        <v>486</v>
      </c>
    </row>
    <row r="82" spans="2:10" s="378" customFormat="1">
      <c r="B82" s="538"/>
      <c r="C82" s="538"/>
      <c r="D82" s="538"/>
      <c r="E82" s="382" t="s">
        <v>485</v>
      </c>
    </row>
    <row r="83" spans="2:10" s="378" customFormat="1">
      <c r="B83" s="538" t="s">
        <v>484</v>
      </c>
      <c r="C83" s="538" t="s">
        <v>483</v>
      </c>
      <c r="D83" s="538" t="s">
        <v>482</v>
      </c>
      <c r="E83" s="381" t="s">
        <v>481</v>
      </c>
    </row>
    <row r="84" spans="2:10" s="378" customFormat="1">
      <c r="B84" s="518"/>
      <c r="C84" s="518"/>
      <c r="D84" s="518"/>
      <c r="E84" s="370" t="s">
        <v>437</v>
      </c>
    </row>
    <row r="85" spans="2:10" s="378" customFormat="1">
      <c r="B85" s="518"/>
      <c r="C85" s="518"/>
      <c r="D85" s="518"/>
      <c r="E85" s="369" t="s">
        <v>480</v>
      </c>
    </row>
    <row r="86" spans="2:10" s="378" customFormat="1">
      <c r="B86" s="518"/>
      <c r="C86" s="518"/>
      <c r="D86" s="518"/>
      <c r="E86" s="369" t="s">
        <v>479</v>
      </c>
      <c r="F86" s="375" t="s">
        <v>478</v>
      </c>
    </row>
    <row r="87" spans="2:10" s="378" customFormat="1">
      <c r="B87" s="539"/>
      <c r="C87" s="539"/>
      <c r="D87" s="539"/>
      <c r="E87" s="368" t="s">
        <v>477</v>
      </c>
    </row>
    <row r="88" spans="2:10">
      <c r="B88" s="540" t="s">
        <v>476</v>
      </c>
      <c r="C88" s="541" t="s">
        <v>475</v>
      </c>
      <c r="D88" s="541" t="s">
        <v>474</v>
      </c>
      <c r="E88" s="370" t="s">
        <v>473</v>
      </c>
      <c r="I88" s="378"/>
      <c r="J88" s="378"/>
    </row>
    <row r="89" spans="2:10">
      <c r="B89" s="500"/>
      <c r="C89" s="503"/>
      <c r="D89" s="503"/>
      <c r="E89" s="369" t="s">
        <v>472</v>
      </c>
      <c r="I89" s="378"/>
    </row>
    <row r="90" spans="2:10">
      <c r="B90" s="500"/>
      <c r="C90" s="503"/>
      <c r="D90" s="503"/>
      <c r="E90" s="369" t="s">
        <v>450</v>
      </c>
      <c r="I90" s="378"/>
    </row>
    <row r="91" spans="2:10">
      <c r="B91" s="500"/>
      <c r="C91" s="503"/>
      <c r="D91" s="503"/>
      <c r="E91" s="369" t="s">
        <v>471</v>
      </c>
      <c r="I91" s="378"/>
    </row>
    <row r="92" spans="2:10">
      <c r="B92" s="500"/>
      <c r="C92" s="503"/>
      <c r="D92" s="503"/>
      <c r="E92" s="369" t="s">
        <v>470</v>
      </c>
      <c r="I92" s="378"/>
    </row>
    <row r="93" spans="2:10" ht="13.5" thickBot="1">
      <c r="B93" s="501"/>
      <c r="C93" s="504"/>
      <c r="D93" s="504"/>
      <c r="E93" s="369" t="s">
        <v>469</v>
      </c>
      <c r="I93" s="378"/>
    </row>
    <row r="94" spans="2:10">
      <c r="B94" s="511" t="s">
        <v>468</v>
      </c>
      <c r="C94" s="513" t="s">
        <v>467</v>
      </c>
      <c r="D94" s="513" t="s">
        <v>466</v>
      </c>
      <c r="E94" s="380" t="s">
        <v>465</v>
      </c>
      <c r="I94" s="378"/>
    </row>
    <row r="95" spans="2:10">
      <c r="B95" s="517"/>
      <c r="C95" s="518"/>
      <c r="D95" s="518"/>
      <c r="E95" s="369" t="s">
        <v>369</v>
      </c>
      <c r="I95" s="378"/>
    </row>
    <row r="96" spans="2:10">
      <c r="B96" s="517"/>
      <c r="C96" s="518"/>
      <c r="D96" s="518"/>
      <c r="E96" s="369" t="s">
        <v>405</v>
      </c>
      <c r="I96" s="378"/>
    </row>
    <row r="97" spans="2:9">
      <c r="B97" s="517"/>
      <c r="C97" s="518"/>
      <c r="D97" s="518"/>
      <c r="E97" s="369" t="s">
        <v>464</v>
      </c>
      <c r="I97" s="378"/>
    </row>
    <row r="98" spans="2:9">
      <c r="B98" s="517"/>
      <c r="C98" s="518"/>
      <c r="D98" s="518"/>
      <c r="E98" s="369" t="s">
        <v>463</v>
      </c>
      <c r="I98" s="378"/>
    </row>
    <row r="99" spans="2:9">
      <c r="B99" s="517"/>
      <c r="C99" s="518"/>
      <c r="D99" s="518"/>
      <c r="E99" s="369" t="s">
        <v>462</v>
      </c>
      <c r="I99" s="378"/>
    </row>
    <row r="100" spans="2:9" ht="13.5" thickBot="1">
      <c r="B100" s="512"/>
      <c r="C100" s="514"/>
      <c r="D100" s="514"/>
      <c r="E100" s="369" t="s">
        <v>461</v>
      </c>
      <c r="I100" s="378"/>
    </row>
    <row r="101" spans="2:9">
      <c r="B101" s="499" t="s">
        <v>460</v>
      </c>
      <c r="C101" s="502" t="s">
        <v>459</v>
      </c>
      <c r="D101" s="535" t="s">
        <v>458</v>
      </c>
      <c r="E101" s="371" t="s">
        <v>457</v>
      </c>
      <c r="I101" s="378"/>
    </row>
    <row r="102" spans="2:9">
      <c r="B102" s="500"/>
      <c r="C102" s="503"/>
      <c r="D102" s="536"/>
      <c r="E102" s="370" t="s">
        <v>456</v>
      </c>
      <c r="I102" s="378"/>
    </row>
    <row r="103" spans="2:9">
      <c r="B103" s="500"/>
      <c r="C103" s="503"/>
      <c r="D103" s="536"/>
      <c r="E103" s="369" t="s">
        <v>450</v>
      </c>
      <c r="I103" s="378"/>
    </row>
    <row r="104" spans="2:9">
      <c r="B104" s="500"/>
      <c r="C104" s="503"/>
      <c r="D104" s="536"/>
      <c r="E104" s="369" t="s">
        <v>369</v>
      </c>
      <c r="I104" s="378"/>
    </row>
    <row r="105" spans="2:9" ht="13.5" thickBot="1">
      <c r="B105" s="501"/>
      <c r="C105" s="504"/>
      <c r="D105" s="537"/>
      <c r="E105" s="368" t="s">
        <v>455</v>
      </c>
      <c r="I105" s="378"/>
    </row>
    <row r="106" spans="2:9">
      <c r="B106" s="505" t="s">
        <v>454</v>
      </c>
      <c r="C106" s="508" t="s">
        <v>453</v>
      </c>
      <c r="D106" s="526" t="s">
        <v>452</v>
      </c>
      <c r="E106" s="379" t="s">
        <v>451</v>
      </c>
      <c r="I106" s="378"/>
    </row>
    <row r="107" spans="2:9">
      <c r="B107" s="506"/>
      <c r="C107" s="509"/>
      <c r="D107" s="527"/>
      <c r="E107" s="369" t="s">
        <v>450</v>
      </c>
    </row>
    <row r="108" spans="2:9">
      <c r="B108" s="506"/>
      <c r="C108" s="509"/>
      <c r="D108" s="527"/>
      <c r="E108" s="369" t="s">
        <v>449</v>
      </c>
    </row>
    <row r="109" spans="2:9">
      <c r="B109" s="506"/>
      <c r="C109" s="509"/>
      <c r="D109" s="527"/>
      <c r="E109" s="369" t="s">
        <v>448</v>
      </c>
    </row>
    <row r="110" spans="2:9" ht="13.5" thickBot="1">
      <c r="B110" s="507"/>
      <c r="C110" s="510"/>
      <c r="D110" s="528"/>
      <c r="E110" s="369" t="s">
        <v>447</v>
      </c>
    </row>
    <row r="111" spans="2:9">
      <c r="B111" s="529" t="s">
        <v>446</v>
      </c>
      <c r="C111" s="532" t="s">
        <v>445</v>
      </c>
      <c r="D111" s="532" t="s">
        <v>444</v>
      </c>
      <c r="E111" s="377" t="s">
        <v>443</v>
      </c>
    </row>
    <row r="112" spans="2:9">
      <c r="B112" s="530"/>
      <c r="C112" s="533"/>
      <c r="D112" s="533"/>
      <c r="E112" s="376" t="s">
        <v>442</v>
      </c>
    </row>
    <row r="113" spans="2:7">
      <c r="B113" s="530"/>
      <c r="C113" s="533"/>
      <c r="D113" s="533"/>
      <c r="E113" s="376" t="s">
        <v>441</v>
      </c>
    </row>
    <row r="114" spans="2:7">
      <c r="B114" s="530"/>
      <c r="C114" s="533" t="s">
        <v>440</v>
      </c>
      <c r="D114" s="533" t="s">
        <v>439</v>
      </c>
      <c r="E114" s="376" t="s">
        <v>438</v>
      </c>
    </row>
    <row r="115" spans="2:7">
      <c r="B115" s="530"/>
      <c r="C115" s="533"/>
      <c r="D115" s="533"/>
      <c r="E115" s="376" t="s">
        <v>437</v>
      </c>
    </row>
    <row r="116" spans="2:7">
      <c r="B116" s="530"/>
      <c r="C116" s="533"/>
      <c r="D116" s="533"/>
      <c r="E116" s="376" t="s">
        <v>436</v>
      </c>
    </row>
    <row r="117" spans="2:7">
      <c r="B117" s="530"/>
      <c r="C117" s="533" t="s">
        <v>435</v>
      </c>
      <c r="D117" s="533" t="s">
        <v>434</v>
      </c>
      <c r="E117" s="376" t="s">
        <v>433</v>
      </c>
    </row>
    <row r="118" spans="2:7">
      <c r="B118" s="530"/>
      <c r="C118" s="533"/>
      <c r="D118" s="533"/>
      <c r="E118" s="376" t="s">
        <v>432</v>
      </c>
    </row>
    <row r="119" spans="2:7">
      <c r="B119" s="530"/>
      <c r="C119" s="533"/>
      <c r="D119" s="533"/>
      <c r="E119" s="376" t="s">
        <v>431</v>
      </c>
    </row>
    <row r="120" spans="2:7">
      <c r="B120" s="530"/>
      <c r="C120" s="533"/>
      <c r="D120" s="533"/>
      <c r="E120" s="376" t="s">
        <v>430</v>
      </c>
    </row>
    <row r="121" spans="2:7">
      <c r="B121" s="530"/>
      <c r="C121" s="533"/>
      <c r="D121" s="533"/>
      <c r="E121" s="376" t="s">
        <v>429</v>
      </c>
    </row>
    <row r="122" spans="2:7">
      <c r="B122" s="530"/>
      <c r="C122" s="533"/>
      <c r="D122" s="533"/>
      <c r="E122" s="376" t="s">
        <v>428</v>
      </c>
    </row>
    <row r="123" spans="2:7" ht="13.5" thickBot="1">
      <c r="B123" s="531"/>
      <c r="C123" s="534"/>
      <c r="D123" s="534"/>
      <c r="E123" s="376" t="s">
        <v>427</v>
      </c>
    </row>
    <row r="124" spans="2:7">
      <c r="B124" s="505" t="s">
        <v>426</v>
      </c>
      <c r="C124" s="508" t="s">
        <v>425</v>
      </c>
      <c r="D124" s="508" t="s">
        <v>424</v>
      </c>
      <c r="E124" s="373" t="s">
        <v>423</v>
      </c>
    </row>
    <row r="125" spans="2:7">
      <c r="B125" s="506"/>
      <c r="C125" s="509"/>
      <c r="D125" s="509"/>
      <c r="E125" s="369" t="s">
        <v>369</v>
      </c>
    </row>
    <row r="126" spans="2:7" ht="13.5" thickBot="1">
      <c r="B126" s="507"/>
      <c r="C126" s="510"/>
      <c r="D126" s="510"/>
      <c r="E126" s="368" t="s">
        <v>422</v>
      </c>
      <c r="G126" s="375" t="s">
        <v>405</v>
      </c>
    </row>
    <row r="127" spans="2:7">
      <c r="B127" s="520" t="s">
        <v>421</v>
      </c>
      <c r="C127" s="523" t="s">
        <v>420</v>
      </c>
      <c r="D127" s="523" t="s">
        <v>419</v>
      </c>
      <c r="E127" s="371" t="s">
        <v>418</v>
      </c>
      <c r="G127" s="375" t="s">
        <v>404</v>
      </c>
    </row>
    <row r="128" spans="2:7">
      <c r="B128" s="521"/>
      <c r="C128" s="524"/>
      <c r="D128" s="524"/>
      <c r="E128" s="369" t="s">
        <v>369</v>
      </c>
      <c r="G128" s="375" t="s">
        <v>403</v>
      </c>
    </row>
    <row r="129" spans="2:7">
      <c r="B129" s="521"/>
      <c r="C129" s="524"/>
      <c r="D129" s="524"/>
      <c r="E129" s="369" t="s">
        <v>417</v>
      </c>
      <c r="G129" s="375" t="s">
        <v>402</v>
      </c>
    </row>
    <row r="130" spans="2:7" ht="13.5" thickBot="1">
      <c r="B130" s="522"/>
      <c r="C130" s="525"/>
      <c r="D130" s="525"/>
      <c r="E130" s="368" t="s">
        <v>416</v>
      </c>
      <c r="G130" s="375" t="s">
        <v>401</v>
      </c>
    </row>
    <row r="131" spans="2:7">
      <c r="B131" s="511" t="s">
        <v>415</v>
      </c>
      <c r="C131" s="513" t="s">
        <v>414</v>
      </c>
      <c r="D131" s="515" t="s">
        <v>413</v>
      </c>
      <c r="E131" s="373" t="s">
        <v>412</v>
      </c>
      <c r="G131" s="375" t="s">
        <v>400</v>
      </c>
    </row>
    <row r="132" spans="2:7">
      <c r="B132" s="517"/>
      <c r="C132" s="518"/>
      <c r="D132" s="519"/>
      <c r="E132" s="369" t="s">
        <v>369</v>
      </c>
      <c r="G132" s="375" t="s">
        <v>367</v>
      </c>
    </row>
    <row r="133" spans="2:7" ht="13.5" thickBot="1">
      <c r="B133" s="517"/>
      <c r="C133" s="518"/>
      <c r="D133" s="519"/>
      <c r="E133" s="369" t="s">
        <v>411</v>
      </c>
      <c r="G133" s="374" t="s">
        <v>399</v>
      </c>
    </row>
    <row r="134" spans="2:7" ht="13.5" thickBot="1">
      <c r="B134" s="512"/>
      <c r="C134" s="514"/>
      <c r="D134" s="516"/>
      <c r="E134" s="368" t="s">
        <v>410</v>
      </c>
    </row>
    <row r="135" spans="2:7">
      <c r="B135" s="511" t="s">
        <v>409</v>
      </c>
      <c r="C135" s="513" t="s">
        <v>408</v>
      </c>
      <c r="D135" s="513" t="s">
        <v>407</v>
      </c>
      <c r="E135" s="373" t="s">
        <v>406</v>
      </c>
    </row>
    <row r="136" spans="2:7">
      <c r="B136" s="517"/>
      <c r="C136" s="518"/>
      <c r="D136" s="518"/>
      <c r="E136" s="369" t="s">
        <v>405</v>
      </c>
    </row>
    <row r="137" spans="2:7">
      <c r="B137" s="517"/>
      <c r="C137" s="518"/>
      <c r="D137" s="518"/>
      <c r="E137" s="369" t="s">
        <v>404</v>
      </c>
    </row>
    <row r="138" spans="2:7">
      <c r="B138" s="517"/>
      <c r="C138" s="518"/>
      <c r="D138" s="518"/>
      <c r="E138" s="369" t="s">
        <v>403</v>
      </c>
    </row>
    <row r="139" spans="2:7">
      <c r="B139" s="517"/>
      <c r="C139" s="518"/>
      <c r="D139" s="518"/>
      <c r="E139" s="369" t="s">
        <v>402</v>
      </c>
    </row>
    <row r="140" spans="2:7">
      <c r="B140" s="517"/>
      <c r="C140" s="518"/>
      <c r="D140" s="518"/>
      <c r="E140" s="369" t="s">
        <v>401</v>
      </c>
    </row>
    <row r="141" spans="2:7">
      <c r="B141" s="517"/>
      <c r="C141" s="518"/>
      <c r="D141" s="518"/>
      <c r="E141" s="369" t="s">
        <v>400</v>
      </c>
    </row>
    <row r="142" spans="2:7">
      <c r="B142" s="517"/>
      <c r="C142" s="518"/>
      <c r="D142" s="518"/>
      <c r="E142" s="369" t="s">
        <v>367</v>
      </c>
    </row>
    <row r="143" spans="2:7" ht="13.5" thickBot="1">
      <c r="B143" s="512"/>
      <c r="C143" s="514"/>
      <c r="D143" s="514"/>
      <c r="E143" s="368" t="s">
        <v>399</v>
      </c>
    </row>
    <row r="144" spans="2:7">
      <c r="B144" s="511" t="s">
        <v>398</v>
      </c>
      <c r="C144" s="513" t="s">
        <v>397</v>
      </c>
      <c r="D144" s="515" t="s">
        <v>396</v>
      </c>
      <c r="E144" s="373" t="s">
        <v>395</v>
      </c>
    </row>
    <row r="145" spans="2:5">
      <c r="B145" s="517"/>
      <c r="C145" s="518"/>
      <c r="D145" s="519"/>
      <c r="E145" s="369" t="s">
        <v>394</v>
      </c>
    </row>
    <row r="146" spans="2:5" ht="13.5" thickBot="1">
      <c r="B146" s="512"/>
      <c r="C146" s="514"/>
      <c r="D146" s="516"/>
      <c r="E146" s="368" t="s">
        <v>393</v>
      </c>
    </row>
    <row r="147" spans="2:5">
      <c r="B147" s="511" t="s">
        <v>392</v>
      </c>
      <c r="C147" s="513" t="s">
        <v>391</v>
      </c>
      <c r="D147" s="515" t="s">
        <v>390</v>
      </c>
      <c r="E147" s="373" t="s">
        <v>389</v>
      </c>
    </row>
    <row r="148" spans="2:5">
      <c r="B148" s="517"/>
      <c r="C148" s="518"/>
      <c r="D148" s="519"/>
      <c r="E148" s="369" t="s">
        <v>388</v>
      </c>
    </row>
    <row r="149" spans="2:5">
      <c r="B149" s="517"/>
      <c r="C149" s="518"/>
      <c r="D149" s="519"/>
      <c r="E149" s="369" t="s">
        <v>387</v>
      </c>
    </row>
    <row r="150" spans="2:5" ht="13.5" thickBot="1">
      <c r="B150" s="512"/>
      <c r="C150" s="514"/>
      <c r="D150" s="516"/>
      <c r="E150" s="368" t="s">
        <v>386</v>
      </c>
    </row>
    <row r="151" spans="2:5" ht="15.75" customHeight="1">
      <c r="B151" s="511" t="s">
        <v>385</v>
      </c>
      <c r="C151" s="513" t="s">
        <v>384</v>
      </c>
      <c r="D151" s="513" t="s">
        <v>383</v>
      </c>
      <c r="E151" s="373" t="s">
        <v>382</v>
      </c>
    </row>
    <row r="152" spans="2:5">
      <c r="B152" s="517"/>
      <c r="C152" s="518"/>
      <c r="D152" s="518"/>
      <c r="E152" s="369" t="s">
        <v>381</v>
      </c>
    </row>
    <row r="153" spans="2:5">
      <c r="B153" s="517"/>
      <c r="C153" s="518"/>
      <c r="D153" s="518"/>
      <c r="E153" s="369" t="s">
        <v>369</v>
      </c>
    </row>
    <row r="154" spans="2:5">
      <c r="B154" s="517"/>
      <c r="C154" s="518"/>
      <c r="D154" s="518"/>
      <c r="E154" s="369" t="s">
        <v>380</v>
      </c>
    </row>
    <row r="155" spans="2:5" ht="13.5" thickBot="1">
      <c r="B155" s="512"/>
      <c r="C155" s="514"/>
      <c r="D155" s="514"/>
      <c r="E155" s="368" t="s">
        <v>379</v>
      </c>
    </row>
    <row r="156" spans="2:5">
      <c r="B156" s="511" t="s">
        <v>378</v>
      </c>
      <c r="C156" s="513" t="s">
        <v>377</v>
      </c>
      <c r="D156" s="513" t="s">
        <v>376</v>
      </c>
      <c r="E156" s="373" t="s">
        <v>375</v>
      </c>
    </row>
    <row r="157" spans="2:5">
      <c r="B157" s="517"/>
      <c r="C157" s="518"/>
      <c r="D157" s="518"/>
      <c r="E157" s="369" t="s">
        <v>369</v>
      </c>
    </row>
    <row r="158" spans="2:5">
      <c r="B158" s="517"/>
      <c r="C158" s="518"/>
      <c r="D158" s="518"/>
      <c r="E158" s="369" t="s">
        <v>374</v>
      </c>
    </row>
    <row r="159" spans="2:5" ht="13.5" thickBot="1">
      <c r="B159" s="512"/>
      <c r="C159" s="514"/>
      <c r="D159" s="514"/>
      <c r="E159" s="368" t="s">
        <v>347</v>
      </c>
    </row>
    <row r="160" spans="2:5">
      <c r="B160" s="505" t="s">
        <v>373</v>
      </c>
      <c r="C160" s="508" t="s">
        <v>372</v>
      </c>
      <c r="D160" s="508" t="s">
        <v>371</v>
      </c>
      <c r="E160" s="373" t="s">
        <v>370</v>
      </c>
    </row>
    <row r="161" spans="2:5">
      <c r="B161" s="506"/>
      <c r="C161" s="509"/>
      <c r="D161" s="509"/>
      <c r="E161" s="369" t="s">
        <v>369</v>
      </c>
    </row>
    <row r="162" spans="2:5">
      <c r="B162" s="506"/>
      <c r="C162" s="509"/>
      <c r="D162" s="509"/>
      <c r="E162" s="369" t="s">
        <v>368</v>
      </c>
    </row>
    <row r="163" spans="2:5">
      <c r="B163" s="506"/>
      <c r="C163" s="509"/>
      <c r="D163" s="509"/>
      <c r="E163" s="369" t="s">
        <v>367</v>
      </c>
    </row>
    <row r="164" spans="2:5" ht="13.5" thickBot="1">
      <c r="B164" s="507"/>
      <c r="C164" s="510"/>
      <c r="D164" s="510"/>
      <c r="E164" s="368" t="s">
        <v>366</v>
      </c>
    </row>
    <row r="165" spans="2:5">
      <c r="B165" s="511" t="s">
        <v>365</v>
      </c>
      <c r="C165" s="513" t="s">
        <v>364</v>
      </c>
      <c r="D165" s="515" t="s">
        <v>363</v>
      </c>
      <c r="E165" s="373" t="s">
        <v>362</v>
      </c>
    </row>
    <row r="166" spans="2:5" ht="13.5" thickBot="1">
      <c r="B166" s="512"/>
      <c r="C166" s="514"/>
      <c r="D166" s="516"/>
      <c r="E166" s="368" t="s">
        <v>361</v>
      </c>
    </row>
    <row r="167" spans="2:5">
      <c r="B167" s="499" t="s">
        <v>360</v>
      </c>
      <c r="C167" s="502" t="s">
        <v>359</v>
      </c>
      <c r="D167" s="502" t="s">
        <v>358</v>
      </c>
      <c r="E167" s="372" t="s">
        <v>357</v>
      </c>
    </row>
    <row r="168" spans="2:5">
      <c r="B168" s="500"/>
      <c r="C168" s="503"/>
      <c r="D168" s="503"/>
      <c r="E168" s="369" t="s">
        <v>356</v>
      </c>
    </row>
    <row r="169" spans="2:5">
      <c r="B169" s="500"/>
      <c r="C169" s="503"/>
      <c r="D169" s="503"/>
      <c r="E169" s="369" t="s">
        <v>355</v>
      </c>
    </row>
    <row r="170" spans="2:5" ht="13.5" thickBot="1">
      <c r="B170" s="501"/>
      <c r="C170" s="504"/>
      <c r="D170" s="504"/>
      <c r="E170" s="368" t="s">
        <v>354</v>
      </c>
    </row>
    <row r="171" spans="2:5">
      <c r="B171" s="499" t="s">
        <v>353</v>
      </c>
      <c r="C171" s="502" t="s">
        <v>352</v>
      </c>
      <c r="D171" s="502" t="s">
        <v>351</v>
      </c>
      <c r="E171" s="371" t="s">
        <v>350</v>
      </c>
    </row>
    <row r="172" spans="2:5">
      <c r="B172" s="500"/>
      <c r="C172" s="503"/>
      <c r="D172" s="503"/>
      <c r="E172" s="370" t="s">
        <v>349</v>
      </c>
    </row>
    <row r="173" spans="2:5">
      <c r="B173" s="500"/>
      <c r="C173" s="503"/>
      <c r="D173" s="503"/>
      <c r="E173" s="370" t="s">
        <v>348</v>
      </c>
    </row>
    <row r="174" spans="2:5">
      <c r="B174" s="500"/>
      <c r="C174" s="503"/>
      <c r="D174" s="503"/>
      <c r="E174" s="369" t="s">
        <v>347</v>
      </c>
    </row>
    <row r="175" spans="2:5" ht="13.5" thickBot="1">
      <c r="B175" s="501"/>
      <c r="C175" s="504"/>
      <c r="D175" s="504"/>
      <c r="E175" s="368" t="s">
        <v>346</v>
      </c>
    </row>
    <row r="176" spans="2:5" ht="13.5" thickBot="1">
      <c r="B176" s="367" t="s">
        <v>345</v>
      </c>
      <c r="C176" s="366" t="s">
        <v>344</v>
      </c>
      <c r="D176" s="366" t="s">
        <v>343</v>
      </c>
      <c r="E176" s="365" t="s">
        <v>342</v>
      </c>
    </row>
  </sheetData>
  <mergeCells count="94">
    <mergeCell ref="B3:B6"/>
    <mergeCell ref="C3:C6"/>
    <mergeCell ref="D3:D6"/>
    <mergeCell ref="B7:B10"/>
    <mergeCell ref="C7:C10"/>
    <mergeCell ref="D7:D10"/>
    <mergeCell ref="B11:B16"/>
    <mergeCell ref="C11:C16"/>
    <mergeCell ref="D11:D16"/>
    <mergeCell ref="B17:B26"/>
    <mergeCell ref="C17:C26"/>
    <mergeCell ref="D17:D26"/>
    <mergeCell ref="B27:B30"/>
    <mergeCell ref="C27:C30"/>
    <mergeCell ref="D27:D30"/>
    <mergeCell ref="B31:B38"/>
    <mergeCell ref="C31:C38"/>
    <mergeCell ref="D31:D38"/>
    <mergeCell ref="B39:B43"/>
    <mergeCell ref="C39:C43"/>
    <mergeCell ref="D39:D43"/>
    <mergeCell ref="B44:B51"/>
    <mergeCell ref="C44:C51"/>
    <mergeCell ref="D44:D51"/>
    <mergeCell ref="B52:B56"/>
    <mergeCell ref="C52:C56"/>
    <mergeCell ref="D52:D56"/>
    <mergeCell ref="B57:B65"/>
    <mergeCell ref="C57:C65"/>
    <mergeCell ref="D57:D65"/>
    <mergeCell ref="B66:B74"/>
    <mergeCell ref="C66:C74"/>
    <mergeCell ref="D66:D74"/>
    <mergeCell ref="B75:B82"/>
    <mergeCell ref="C75:C82"/>
    <mergeCell ref="D75:D82"/>
    <mergeCell ref="B83:B87"/>
    <mergeCell ref="C83:C87"/>
    <mergeCell ref="D83:D87"/>
    <mergeCell ref="B88:B93"/>
    <mergeCell ref="C88:C93"/>
    <mergeCell ref="D88:D93"/>
    <mergeCell ref="B94:B100"/>
    <mergeCell ref="C94:C100"/>
    <mergeCell ref="D94:D100"/>
    <mergeCell ref="B101:B105"/>
    <mergeCell ref="C101:C105"/>
    <mergeCell ref="D101:D105"/>
    <mergeCell ref="B106:B110"/>
    <mergeCell ref="C106:C110"/>
    <mergeCell ref="D106:D110"/>
    <mergeCell ref="B111:B123"/>
    <mergeCell ref="C111:C113"/>
    <mergeCell ref="D111:D113"/>
    <mergeCell ref="C114:C116"/>
    <mergeCell ref="D114:D116"/>
    <mergeCell ref="C117:C123"/>
    <mergeCell ref="D117:D123"/>
    <mergeCell ref="B124:B126"/>
    <mergeCell ref="C124:C126"/>
    <mergeCell ref="D124:D126"/>
    <mergeCell ref="B127:B130"/>
    <mergeCell ref="C127:C130"/>
    <mergeCell ref="D127:D130"/>
    <mergeCell ref="B131:B134"/>
    <mergeCell ref="C131:C134"/>
    <mergeCell ref="D131:D134"/>
    <mergeCell ref="B135:B143"/>
    <mergeCell ref="C135:C143"/>
    <mergeCell ref="D135:D143"/>
    <mergeCell ref="B144:B146"/>
    <mergeCell ref="C144:C146"/>
    <mergeCell ref="D144:D146"/>
    <mergeCell ref="B147:B150"/>
    <mergeCell ref="C147:C150"/>
    <mergeCell ref="D147:D150"/>
    <mergeCell ref="B151:B155"/>
    <mergeCell ref="C151:C155"/>
    <mergeCell ref="D151:D155"/>
    <mergeCell ref="B156:B159"/>
    <mergeCell ref="C156:C159"/>
    <mergeCell ref="D156:D159"/>
    <mergeCell ref="B160:B164"/>
    <mergeCell ref="C160:C164"/>
    <mergeCell ref="D160:D164"/>
    <mergeCell ref="B165:B166"/>
    <mergeCell ref="C165:C166"/>
    <mergeCell ref="D165:D166"/>
    <mergeCell ref="B167:B170"/>
    <mergeCell ref="C167:C170"/>
    <mergeCell ref="D167:D170"/>
    <mergeCell ref="B171:B175"/>
    <mergeCell ref="C171:C175"/>
    <mergeCell ref="D171:D175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Set">
    <tabColor rgb="FFFFFF00"/>
  </sheetPr>
  <dimension ref="B2:K33"/>
  <sheetViews>
    <sheetView showGridLines="0" zoomScale="115" zoomScaleNormal="115" workbookViewId="0">
      <selection activeCell="C5" sqref="C5"/>
    </sheetView>
  </sheetViews>
  <sheetFormatPr defaultColWidth="9.140625" defaultRowHeight="12"/>
  <cols>
    <col min="1" max="1" width="9.140625" style="4"/>
    <col min="2" max="2" width="19.5703125" style="4" bestFit="1" customWidth="1"/>
    <col min="3" max="3" width="11.85546875" style="4" customWidth="1"/>
    <col min="4" max="4" width="9.140625" style="4"/>
    <col min="5" max="5" width="9.140625" style="11"/>
    <col min="6" max="6" width="9.140625" style="4"/>
    <col min="7" max="7" width="60.42578125" style="4" customWidth="1"/>
    <col min="8" max="9" width="9.140625" style="4"/>
    <col min="10" max="10" width="11" style="4" customWidth="1"/>
    <col min="11" max="11" width="35.42578125" style="4" customWidth="1"/>
    <col min="12" max="16384" width="9.140625" style="4"/>
  </cols>
  <sheetData>
    <row r="2" spans="2:11">
      <c r="B2" s="12" t="s">
        <v>30</v>
      </c>
      <c r="G2" s="12" t="s">
        <v>42</v>
      </c>
    </row>
    <row r="3" spans="2:11">
      <c r="B3" s="14" t="s">
        <v>6</v>
      </c>
      <c r="C3" s="271" t="s">
        <v>314</v>
      </c>
      <c r="E3" s="16" t="s">
        <v>32</v>
      </c>
      <c r="G3" s="34" t="s">
        <v>43</v>
      </c>
      <c r="H3" s="34" t="s">
        <v>44</v>
      </c>
      <c r="J3" s="559" t="s">
        <v>47</v>
      </c>
      <c r="K3" s="559"/>
    </row>
    <row r="4" spans="2:11">
      <c r="B4" s="14" t="s">
        <v>7</v>
      </c>
      <c r="C4" s="15">
        <v>45778</v>
      </c>
      <c r="E4" s="17">
        <v>1</v>
      </c>
      <c r="G4" s="13"/>
      <c r="H4" s="36"/>
      <c r="J4" s="38" t="s">
        <v>48</v>
      </c>
      <c r="K4" s="39" t="s">
        <v>628</v>
      </c>
    </row>
    <row r="5" spans="2:11">
      <c r="B5" s="14" t="s">
        <v>36</v>
      </c>
      <c r="C5" s="31">
        <v>12</v>
      </c>
      <c r="E5" s="18">
        <v>2</v>
      </c>
      <c r="G5" s="35"/>
      <c r="H5" s="36"/>
      <c r="J5" s="38" t="s">
        <v>49</v>
      </c>
      <c r="K5" s="40" t="str">
        <f xml:space="preserve"> TRIM(UPPER(
           'Расчет программы'!K10
       &amp; 'Расчет программы'!K11
       &amp; 'Расчет программы'!K15
       &amp; 'Расчет программы'!K16
       &amp; 'Расчет программы'!K17
       &amp; 'Расчет программы'!K20
    ))</f>
        <v>51500000ТЕСТМУЖСКОЙ14.06.1990ДА</v>
      </c>
    </row>
    <row r="6" spans="2:11">
      <c r="E6" s="18">
        <v>3</v>
      </c>
      <c r="G6" s="35"/>
      <c r="H6" s="36"/>
      <c r="J6" s="38" t="s">
        <v>50</v>
      </c>
      <c r="K6" s="39">
        <f xml:space="preserve"> IF(K4 &lt;&gt; K5, 1, 0)</f>
        <v>1</v>
      </c>
    </row>
    <row r="7" spans="2:11">
      <c r="B7" s="13" t="s">
        <v>31</v>
      </c>
      <c r="E7" s="18">
        <v>4</v>
      </c>
      <c r="G7" s="35"/>
      <c r="H7" s="36"/>
    </row>
    <row r="8" spans="2:11">
      <c r="B8" s="14" t="s">
        <v>25</v>
      </c>
      <c r="C8" s="10" t="str">
        <f ca="1" xml:space="preserve"> IF(TODAY() &gt; Н_ДатаОкончания, "Блокирован", "Действует")</f>
        <v>Действует</v>
      </c>
      <c r="E8" s="18">
        <v>5</v>
      </c>
    </row>
    <row r="9" spans="2:11">
      <c r="B9" s="14" t="s">
        <v>5</v>
      </c>
      <c r="C9" s="30">
        <f xml:space="preserve"> DATE(YEAR(Н_Дата), MONTH(Н_Дата) + $C$5, DAY(Н_Дата)-1)</f>
        <v>46142</v>
      </c>
      <c r="E9" s="18">
        <v>6</v>
      </c>
    </row>
    <row r="10" spans="2:11">
      <c r="B10" s="14" t="s">
        <v>28</v>
      </c>
      <c r="C10" s="10">
        <f ca="1" xml:space="preserve"> COUNTIF('Расчет программы'!M:M, "#ОШИБКА!*")</f>
        <v>0</v>
      </c>
      <c r="E10" s="18">
        <v>7</v>
      </c>
    </row>
    <row r="11" spans="2:11">
      <c r="E11" s="18">
        <v>8</v>
      </c>
      <c r="G11" s="12" t="s">
        <v>45</v>
      </c>
    </row>
    <row r="12" spans="2:11">
      <c r="E12" s="18">
        <v>9</v>
      </c>
      <c r="G12" s="557" t="str">
        <f xml:space="preserve">  IF($H$5, $G$5 &amp; CHAR(10), "")
&amp; IF($H$6, $G$6 &amp; CHAR(10), "")
&amp; IF($H$7, $G$7 &amp; CHAR(10), "")</f>
        <v/>
      </c>
      <c r="H12" s="558"/>
    </row>
    <row r="13" spans="2:11">
      <c r="E13" s="18">
        <v>10</v>
      </c>
      <c r="G13" s="558"/>
      <c r="H13" s="558"/>
    </row>
    <row r="14" spans="2:11">
      <c r="E14" s="18">
        <v>11</v>
      </c>
      <c r="G14" s="558"/>
      <c r="H14" s="558"/>
    </row>
    <row r="15" spans="2:11">
      <c r="E15" s="18">
        <v>12</v>
      </c>
      <c r="G15" s="558"/>
      <c r="H15" s="558"/>
    </row>
    <row r="16" spans="2:11">
      <c r="E16" s="18">
        <v>13</v>
      </c>
      <c r="G16" s="558"/>
      <c r="H16" s="558"/>
    </row>
    <row r="17" spans="5:8">
      <c r="E17" s="18">
        <v>14</v>
      </c>
      <c r="G17" s="558"/>
      <c r="H17" s="558"/>
    </row>
    <row r="18" spans="5:8">
      <c r="E18" s="18">
        <v>15</v>
      </c>
      <c r="G18" s="558"/>
      <c r="H18" s="558"/>
    </row>
    <row r="19" spans="5:8">
      <c r="E19" s="18">
        <v>16</v>
      </c>
      <c r="G19" s="558"/>
      <c r="H19" s="558"/>
    </row>
    <row r="20" spans="5:8">
      <c r="E20" s="18">
        <v>17</v>
      </c>
      <c r="G20" s="558"/>
      <c r="H20" s="558"/>
    </row>
    <row r="21" spans="5:8">
      <c r="E21" s="18">
        <v>18</v>
      </c>
      <c r="G21" s="558"/>
      <c r="H21" s="558"/>
    </row>
    <row r="22" spans="5:8">
      <c r="E22" s="18">
        <v>19</v>
      </c>
      <c r="G22" s="558"/>
      <c r="H22" s="558"/>
    </row>
    <row r="23" spans="5:8">
      <c r="E23" s="18">
        <v>20</v>
      </c>
    </row>
    <row r="24" spans="5:8">
      <c r="E24" s="18">
        <v>21</v>
      </c>
    </row>
    <row r="25" spans="5:8">
      <c r="E25" s="18">
        <v>22</v>
      </c>
    </row>
    <row r="26" spans="5:8">
      <c r="E26" s="18">
        <v>23</v>
      </c>
    </row>
    <row r="27" spans="5:8">
      <c r="E27" s="18">
        <v>24</v>
      </c>
    </row>
    <row r="28" spans="5:8">
      <c r="E28" s="18">
        <v>25</v>
      </c>
    </row>
    <row r="29" spans="5:8">
      <c r="E29" s="18">
        <v>26</v>
      </c>
    </row>
    <row r="30" spans="5:8">
      <c r="E30" s="18">
        <v>27</v>
      </c>
    </row>
    <row r="31" spans="5:8">
      <c r="E31" s="18">
        <v>28</v>
      </c>
    </row>
    <row r="32" spans="5:8">
      <c r="E32" s="18">
        <v>29</v>
      </c>
    </row>
    <row r="33" spans="5:5">
      <c r="E33" s="19">
        <v>30</v>
      </c>
    </row>
  </sheetData>
  <mergeCells count="2">
    <mergeCell ref="G12:H22"/>
    <mergeCell ref="J3:K3"/>
  </mergeCells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>
    <tabColor theme="9"/>
  </sheetPr>
  <dimension ref="B1:AF49"/>
  <sheetViews>
    <sheetView zoomScale="90" zoomScaleNormal="90" workbookViewId="0">
      <selection activeCell="L33" sqref="L33"/>
    </sheetView>
  </sheetViews>
  <sheetFormatPr defaultColWidth="8.85546875" defaultRowHeight="12.75"/>
  <cols>
    <col min="1" max="1" width="2.140625" style="48" customWidth="1"/>
    <col min="2" max="2" width="5.42578125" style="50" customWidth="1"/>
    <col min="3" max="3" width="26.42578125" style="48" customWidth="1"/>
    <col min="4" max="9" width="20" style="49" customWidth="1"/>
    <col min="10" max="26" width="13.42578125" style="49" customWidth="1"/>
    <col min="27" max="32" width="8.85546875" style="49"/>
    <col min="33" max="16384" width="8.85546875" style="48"/>
  </cols>
  <sheetData>
    <row r="1" spans="2:32">
      <c r="C1" s="50"/>
    </row>
    <row r="2" spans="2:32" ht="15" customHeight="1">
      <c r="C2" s="50" t="s">
        <v>0</v>
      </c>
      <c r="D2" s="232">
        <f ca="1" xml:space="preserve"> КЛ_ДАТА</f>
        <v>45813</v>
      </c>
    </row>
    <row r="3" spans="2:32" s="49" customFormat="1" ht="6" customHeight="1">
      <c r="B3" s="50"/>
      <c r="C3" s="60"/>
      <c r="D3" s="62"/>
    </row>
    <row r="4" spans="2:32" ht="14.45" customHeight="1">
      <c r="C4" s="70" t="s">
        <v>97</v>
      </c>
      <c r="D4" s="69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2:32" s="49" customFormat="1" ht="6" customHeight="1">
      <c r="B5" s="50"/>
      <c r="C5" s="60"/>
      <c r="D5" s="62"/>
    </row>
    <row r="6" spans="2:32" s="49" customFormat="1" ht="14.45" customHeight="1">
      <c r="B6" s="50"/>
      <c r="C6" s="50" t="s">
        <v>96</v>
      </c>
      <c r="D6" s="230" t="str">
        <f xml:space="preserve"> IF('Расчет программы'!$K$16 = "мужской", "m",
   IF('Расчет программы'!$K$16 = "женский", "f",
   ""))</f>
        <v>m</v>
      </c>
    </row>
    <row r="7" spans="2:32" ht="14.45" customHeight="1">
      <c r="C7" s="50" t="s">
        <v>94</v>
      </c>
      <c r="D7" s="232" t="str">
        <f xml:space="preserve"> КЛ_ДР_З</f>
        <v>14.06.1990</v>
      </c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2:32" ht="14.45" customHeight="1">
      <c r="C8" s="50" t="s">
        <v>93</v>
      </c>
      <c r="D8" s="81">
        <f ca="1">YEAR(D2)-YEAR(D7)-IF(DATE(YEAR(D2),MONTH(D7),DAY(D7))&gt;D2,1,0)</f>
        <v>34</v>
      </c>
      <c r="F8" s="48"/>
      <c r="G8" s="48"/>
      <c r="H8" s="85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2:32" s="49" customFormat="1" ht="14.45" customHeight="1">
      <c r="B9" s="50"/>
      <c r="C9" s="50"/>
      <c r="D9" s="84" t="str">
        <f>"tbl_D_"&amp;D6</f>
        <v>tbl_D_m</v>
      </c>
      <c r="F9" s="83"/>
      <c r="G9" s="83"/>
      <c r="H9" s="85"/>
      <c r="I9" s="83"/>
      <c r="J9" s="82"/>
      <c r="L9" s="82"/>
    </row>
    <row r="10" spans="2:32" s="49" customFormat="1" ht="14.45" customHeight="1">
      <c r="B10" s="50"/>
      <c r="C10" s="50"/>
      <c r="D10" s="84" t="str">
        <f>"tbl_Dis_"&amp;D6</f>
        <v>tbl_Dis_m</v>
      </c>
      <c r="F10" s="83"/>
      <c r="G10" s="82"/>
    </row>
    <row r="11" spans="2:32" s="49" customFormat="1" ht="14.45" customHeight="1">
      <c r="B11" s="50"/>
      <c r="C11" s="50"/>
      <c r="D11" s="84" t="str">
        <f>"tbl_D_Dis_"&amp;D6</f>
        <v>tbl_D_Dis_m</v>
      </c>
      <c r="F11" s="83"/>
      <c r="G11" s="82"/>
    </row>
    <row r="12" spans="2:32" s="49" customFormat="1" ht="6" customHeight="1">
      <c r="B12" s="50"/>
      <c r="C12" s="60"/>
      <c r="D12" s="62"/>
    </row>
    <row r="13" spans="2:32" ht="14.45" customHeight="1">
      <c r="C13" s="70" t="s">
        <v>92</v>
      </c>
      <c r="D13" s="69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2:32" s="49" customFormat="1" ht="6" customHeight="1">
      <c r="B14" s="50"/>
      <c r="C14" s="60"/>
      <c r="D14" s="62"/>
    </row>
    <row r="15" spans="2:32" s="49" customFormat="1" ht="14.45" customHeight="1">
      <c r="B15" s="50"/>
      <c r="C15" s="50" t="s">
        <v>91</v>
      </c>
      <c r="D15" s="231" t="str">
        <f xml:space="preserve"> 'Расчет программы'!$K$8</f>
        <v>рубли</v>
      </c>
    </row>
    <row r="16" spans="2:32" s="49" customFormat="1" ht="14.45" customHeight="1">
      <c r="B16" s="50"/>
      <c r="C16" s="50" t="s">
        <v>90</v>
      </c>
      <c r="D16" s="362">
        <f>IF(D15="Рубли",IF(nn&lt;=15,8%,IF(nn&lt;=20,7%,6%)),1.5%)</f>
        <v>0.08</v>
      </c>
    </row>
    <row r="17" spans="2:9" s="48" customFormat="1" ht="6" customHeight="1">
      <c r="B17" s="50"/>
      <c r="D17" s="49"/>
      <c r="E17" s="49"/>
    </row>
    <row r="18" spans="2:9" s="49" customFormat="1" ht="14.45" customHeight="1">
      <c r="B18" s="50"/>
      <c r="C18" s="50" t="s">
        <v>60</v>
      </c>
      <c r="D18" s="230">
        <f>КЛ_СРОК</f>
        <v>5</v>
      </c>
      <c r="E18" s="81">
        <f ca="1">IF(xx + nn &gt; Настройки!$K$20, Настройки!$K$20 - xx, nn)</f>
        <v>5</v>
      </c>
      <c r="F18" s="81">
        <v>5</v>
      </c>
    </row>
    <row r="19" spans="2:9" s="49" customFormat="1" ht="14.45" customHeight="1">
      <c r="B19" s="50"/>
      <c r="C19" s="50" t="s">
        <v>89</v>
      </c>
      <c r="D19" s="230">
        <f xml:space="preserve"> IF('Расчет программы'!$K$9 = "ежемесячно", 12,
   IF('Расчет программы'!$K$9 = "ежеквартально", 4,
   IF('Расчет программы'!$K$9 = "раз в пол года", 2,
   IF('Расчет программы'!$K$9 = "ежегодно", 1,
   0))))</f>
        <v>1</v>
      </c>
    </row>
    <row r="20" spans="2:9" s="48" customFormat="1" ht="12" customHeight="1">
      <c r="B20" s="50"/>
      <c r="D20" s="49"/>
      <c r="E20" s="49"/>
    </row>
    <row r="21" spans="2:9" s="48" customFormat="1" ht="14.45" customHeight="1">
      <c r="B21" s="50"/>
      <c r="C21" s="70" t="s">
        <v>88</v>
      </c>
      <c r="D21" s="69"/>
      <c r="E21" s="49"/>
    </row>
    <row r="22" spans="2:9" s="49" customFormat="1" ht="6" customHeight="1">
      <c r="B22" s="50"/>
      <c r="C22" s="60"/>
      <c r="D22" s="62"/>
    </row>
    <row r="23" spans="2:9" s="48" customFormat="1" ht="14.1" customHeight="1">
      <c r="B23" s="50"/>
      <c r="D23" s="61" t="s">
        <v>81</v>
      </c>
      <c r="E23" s="60">
        <v>1</v>
      </c>
      <c r="F23" s="60">
        <v>2</v>
      </c>
      <c r="G23" s="60">
        <v>3</v>
      </c>
      <c r="H23" s="60">
        <v>4</v>
      </c>
      <c r="I23" s="60">
        <v>5</v>
      </c>
    </row>
    <row r="24" spans="2:9" s="48" customFormat="1" ht="12" customHeight="1">
      <c r="B24" s="50"/>
      <c r="C24" s="50" t="s">
        <v>87</v>
      </c>
      <c r="D24" s="80">
        <v>0</v>
      </c>
      <c r="E24" s="79">
        <f>VLOOKUP(nn,tbl_Comm,E23+1,0)</f>
        <v>0.3</v>
      </c>
      <c r="F24" s="79">
        <f>VLOOKUP(nn,tbl_Comm,F23+1,0)</f>
        <v>0</v>
      </c>
      <c r="G24" s="79">
        <f>VLOOKUP(nn,tbl_Comm,G23+1,0)</f>
        <v>0</v>
      </c>
      <c r="H24" s="79">
        <f>VLOOKUP(nn,tbl_Comm,H23+1,0)</f>
        <v>0</v>
      </c>
      <c r="I24" s="79">
        <f>VLOOKUP(nn,tbl_Comm,I23+1,0)</f>
        <v>0</v>
      </c>
    </row>
    <row r="25" spans="2:9" s="48" customFormat="1" ht="20.25" customHeight="1">
      <c r="B25" s="50"/>
      <c r="C25" s="50" t="s">
        <v>86</v>
      </c>
      <c r="D25" s="78"/>
      <c r="E25" s="242">
        <v>0</v>
      </c>
      <c r="F25" s="77">
        <v>0</v>
      </c>
      <c r="G25" s="77">
        <v>0</v>
      </c>
      <c r="H25" s="77">
        <v>0</v>
      </c>
      <c r="I25" s="77">
        <v>0</v>
      </c>
    </row>
    <row r="26" spans="2:9" s="49" customFormat="1" ht="19.5" customHeight="1">
      <c r="B26" s="50"/>
      <c r="C26" s="60"/>
      <c r="D26" s="62"/>
    </row>
    <row r="27" spans="2:9" s="48" customFormat="1" ht="15" customHeight="1">
      <c r="B27" s="50"/>
      <c r="C27" s="50" t="s">
        <v>85</v>
      </c>
      <c r="D27" s="76">
        <f>SUMPRODUCT(E27:I27,IF(D24=0,E25:I25,E24:I24))/apret_m(ii,1,nn)</f>
        <v>0</v>
      </c>
      <c r="E27" s="75">
        <f>1/(1+ii)^(E23-1)</f>
        <v>1</v>
      </c>
      <c r="F27" s="74">
        <f>1/(1+ii)^(F23-1)</f>
        <v>0.92592592592592582</v>
      </c>
      <c r="G27" s="74">
        <f>1/(1+ii)^(G23-1)</f>
        <v>0.85733882030178321</v>
      </c>
      <c r="H27" s="74">
        <f>1/(1+ii)^(H23-1)</f>
        <v>0.79383224102016958</v>
      </c>
      <c r="I27" s="74">
        <f>1/(1+ii)^(I23-1)</f>
        <v>0.73502985279645328</v>
      </c>
    </row>
    <row r="28" spans="2:9" s="48" customFormat="1" ht="12" customHeight="1">
      <c r="B28" s="50"/>
      <c r="C28" s="50"/>
      <c r="D28" s="71"/>
      <c r="E28" s="49"/>
    </row>
    <row r="29" spans="2:9" s="48" customFormat="1" ht="12" customHeight="1">
      <c r="B29" s="50"/>
      <c r="C29" s="50" t="s">
        <v>84</v>
      </c>
      <c r="D29" s="73">
        <v>0.05</v>
      </c>
      <c r="E29" s="49"/>
      <c r="F29" s="72" t="s">
        <v>83</v>
      </c>
      <c r="G29" s="72" t="s">
        <v>257</v>
      </c>
      <c r="H29" s="243" t="s">
        <v>258</v>
      </c>
    </row>
    <row r="30" spans="2:9" s="48" customFormat="1" ht="12" customHeight="1">
      <c r="B30" s="50"/>
      <c r="C30" s="50" t="s">
        <v>256</v>
      </c>
      <c r="D30" s="241">
        <v>0.05</v>
      </c>
      <c r="E30" s="49"/>
      <c r="F30" s="72"/>
      <c r="G30" s="72"/>
      <c r="H30" s="243"/>
    </row>
    <row r="31" spans="2:9" s="48" customFormat="1" ht="14.45" customHeight="1">
      <c r="B31" s="50"/>
      <c r="C31" s="70" t="s">
        <v>82</v>
      </c>
      <c r="D31" s="69"/>
      <c r="E31" s="49"/>
    </row>
    <row r="32" spans="2:9" s="48" customFormat="1" ht="14.1" customHeight="1">
      <c r="B32" s="50"/>
      <c r="D32" s="68" t="s">
        <v>81</v>
      </c>
      <c r="E32" s="60" t="s">
        <v>80</v>
      </c>
      <c r="F32" s="60" t="s">
        <v>79</v>
      </c>
      <c r="G32" s="59" t="s">
        <v>78</v>
      </c>
      <c r="H32" s="59" t="s">
        <v>77</v>
      </c>
      <c r="I32" s="60" t="s">
        <v>70</v>
      </c>
    </row>
    <row r="33" spans="2:32" ht="14.1" customHeight="1">
      <c r="C33" s="62" t="s">
        <v>76</v>
      </c>
      <c r="D33" s="68"/>
      <c r="E33" s="60"/>
      <c r="F33" s="60"/>
      <c r="G33" s="60"/>
      <c r="H33" s="60"/>
      <c r="I33" s="60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2:32" ht="12" customHeight="1">
      <c r="C34" s="50" t="s">
        <v>75</v>
      </c>
      <c r="D34" s="225">
        <f xml:space="preserve"> 1</f>
        <v>1</v>
      </c>
      <c r="E34" s="226">
        <f ca="1" xml:space="preserve"> N('Предложение для клиента'!$E$20)</f>
        <v>1500000</v>
      </c>
      <c r="F34" s="65">
        <v>1</v>
      </c>
      <c r="G34" s="64">
        <v>0</v>
      </c>
      <c r="H34" s="245">
        <f ca="1" xml:space="preserve"> F34 * ROUND((A1xn_p(ii, xx, nn, INDIRECT($D$9)) / (aprexn(xx, nn, INDIRECT($D$9))) + G34 / 1000) / (1 - $D$27 - $D$29), 8)</f>
        <v>2.6082000000000002E-3</v>
      </c>
      <c r="I34" s="58">
        <f ca="1">D34*ROUND(VLOOKUP(kk,tbl_freq_k,2,0)*H34*E34,2)</f>
        <v>3912.3</v>
      </c>
      <c r="J34" s="67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2:32" ht="12" customHeight="1">
      <c r="B35" s="63" t="str">
        <f>"до "&amp;Настройки!K20</f>
        <v>до 65</v>
      </c>
      <c r="C35" s="50" t="s">
        <v>74</v>
      </c>
      <c r="D35" s="225">
        <f ca="1" xml:space="preserve"> IF('Расчет программы'!$K$18 &gt; 64, 0, 1)</f>
        <v>1</v>
      </c>
      <c r="E35" s="226">
        <f ca="1" xml:space="preserve"> N('Предложение для клиента'!$E$21)</f>
        <v>1500000</v>
      </c>
      <c r="F35" s="65">
        <v>1</v>
      </c>
      <c r="G35" s="64">
        <v>0</v>
      </c>
      <c r="H35" s="245">
        <f ca="1" xml:space="preserve"> (F35 + IF('Расчет программы'!$K$34 = "ВКЛ", 10%, 0))
* ROUND((A1xn_p(ii, xx, $E$18, INDIRECT($D$10))  /  aprexn(xx, $E$18, INDIRECT($D$11)) + G35 / 1000)  /  (1 - $D$27 - $D$29), 8)</f>
        <v>4.1144400000000007E-4</v>
      </c>
      <c r="I35" s="58">
        <f ca="1">D35*ROUND(VLOOKUP(kk,tbl_freq_k,2,0)*IFERROR(H35,0)*E35,2)</f>
        <v>617.16999999999996</v>
      </c>
      <c r="J35" s="48"/>
      <c r="K35" s="48">
        <f ca="1">aprexn(xx, 0, INDIRECT($D$11))</f>
        <v>0</v>
      </c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2:32" ht="6" customHeight="1">
      <c r="D36" s="229"/>
      <c r="E36" s="227"/>
      <c r="F36" s="66"/>
      <c r="G36" s="66"/>
      <c r="H36" s="66"/>
      <c r="I36" s="66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2:32" s="49" customFormat="1">
      <c r="B37" s="50"/>
      <c r="C37" s="62" t="s">
        <v>73</v>
      </c>
      <c r="D37" s="228"/>
      <c r="E37" s="227"/>
      <c r="F37" s="66"/>
      <c r="G37" s="66"/>
      <c r="H37" s="66"/>
      <c r="I37" s="66"/>
    </row>
    <row r="38" spans="2:32" ht="12" customHeight="1">
      <c r="C38" s="50" t="s">
        <v>2</v>
      </c>
      <c r="D38" s="225">
        <f xml:space="preserve"> IF('Расчет программы'!$K$28 = "ВКЛ", 1, 0)</f>
        <v>1</v>
      </c>
      <c r="E38" s="226">
        <f ca="1" xml:space="preserve"> N('Предложение для клиента'!$E$27)</f>
        <v>1500000</v>
      </c>
      <c r="F38" s="65">
        <v>1</v>
      </c>
      <c r="G38" s="64">
        <v>0</v>
      </c>
      <c r="H38" s="245">
        <f xml:space="preserve"> (D38 + IF('Расчет программы'!$K$34 = "ВКЛ", 10%, 0))
* ROUND((NTr_Acc_D*F38+G38/1000)/(1-$D$27-$D$29),8)</f>
        <v>1.121307E-3</v>
      </c>
      <c r="I38" s="58">
        <f ca="1">D38*ROUND(VLOOKUP(kk,tbl_freq_k,2,0)*H38*E38,2)</f>
        <v>1681.96</v>
      </c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2:32" ht="12" customHeight="1">
      <c r="C39" s="50" t="s">
        <v>72</v>
      </c>
      <c r="D39" s="225">
        <f xml:space="preserve"> IF('Расчет программы'!$K$28 = "ВКЛ", 1, 0)</f>
        <v>1</v>
      </c>
      <c r="E39" s="226">
        <f ca="1" xml:space="preserve"> N('Предложение для клиента'!$E$28)</f>
        <v>1500000</v>
      </c>
      <c r="F39" s="65">
        <v>1</v>
      </c>
      <c r="G39" s="64">
        <v>0</v>
      </c>
      <c r="H39" s="245">
        <f xml:space="preserve"> (D39 + IF('Расчет программы'!$K$34 = "ВКЛ", 10%, 0))
* ROUND((NTr_Acc_DTrf*F39+G39/1000)/(1-$D$27-$D$29),8)</f>
        <v>2.8067599999999999E-4</v>
      </c>
      <c r="I39" s="58">
        <f ca="1">D39*ROUND(VLOOKUP(kk,tbl_freq_k,2,0)*H39*E39,2)</f>
        <v>421.01</v>
      </c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2:32" s="49" customFormat="1">
      <c r="B40" s="50"/>
      <c r="C40" s="50" t="s">
        <v>71</v>
      </c>
      <c r="D40" s="225">
        <f xml:space="preserve"> IF('Расчет программы'!$K$28 = "ВКЛ", 1, 0)</f>
        <v>1</v>
      </c>
      <c r="E40" s="226">
        <f ca="1" xml:space="preserve"> N('Предложение для клиента'!$E$29)</f>
        <v>1500000</v>
      </c>
      <c r="F40" s="65">
        <v>1</v>
      </c>
      <c r="G40" s="64">
        <v>0</v>
      </c>
      <c r="H40" s="245">
        <f xml:space="preserve"> (D40 + IF('Расчет программы'!$K$34 = "ВКЛ", 10%, 0))
* ROUND((NTr_Acc_Trauma*F40+G40/1000)/(1-$D$27-$D$29),8)</f>
        <v>1.8341070000000002E-3</v>
      </c>
      <c r="I40" s="58">
        <f ca="1">D40*ROUND(VLOOKUP(kk,tbl_freq_k,2,0)*H40*E40,2)</f>
        <v>2751.16</v>
      </c>
    </row>
    <row r="42" spans="2:32">
      <c r="B42" s="63" t="str">
        <f>"до "&amp;Настройки!K21</f>
        <v>до 65</v>
      </c>
      <c r="C42" s="62" t="s">
        <v>326</v>
      </c>
      <c r="D42" s="61"/>
      <c r="E42" s="60"/>
      <c r="F42" s="60"/>
      <c r="G42" s="59"/>
      <c r="H42" s="59"/>
      <c r="I42" s="60" t="s">
        <v>70</v>
      </c>
    </row>
    <row r="43" spans="2:32">
      <c r="C43" s="50" t="s">
        <v>69</v>
      </c>
      <c r="D43" s="225">
        <f xml:space="preserve"> IF('Расчет программы'!$K$30 = "ВКЛ", 1, 0)</f>
        <v>1</v>
      </c>
      <c r="E43" s="49" t="s">
        <v>67</v>
      </c>
      <c r="F43" s="65">
        <v>1</v>
      </c>
      <c r="G43" s="49" t="s">
        <v>67</v>
      </c>
      <c r="H43" s="49" t="s">
        <v>67</v>
      </c>
      <c r="I43" s="58">
        <f ca="1">D43*ROUND(VLOOKUP(kk,tbl_freq_k,2,0)*Настройки!$Q$16/(1-Расчет!$D$30-Расчет!$D$27),2)*F43</f>
        <v>9305.26</v>
      </c>
      <c r="K43" s="239"/>
    </row>
    <row r="44" spans="2:32">
      <c r="C44" s="50" t="s">
        <v>68</v>
      </c>
      <c r="D44" s="225">
        <f xml:space="preserve"> IF('Расчет программы'!$K$31 = "ВКЛ", 1, 0)</f>
        <v>0</v>
      </c>
      <c r="E44" s="49" t="s">
        <v>67</v>
      </c>
      <c r="F44" s="65">
        <v>1</v>
      </c>
      <c r="G44" s="49" t="s">
        <v>67</v>
      </c>
      <c r="H44" s="49" t="s">
        <v>67</v>
      </c>
      <c r="I44" s="58">
        <f ca="1">D44*ROUND(VLOOKUP(kk,tbl_freq_k,2,0)*Настройки!$Q$17/(1-Расчет!$D$30-Расчет!$D$27),2)*F44</f>
        <v>0</v>
      </c>
      <c r="K44" s="240"/>
    </row>
    <row r="46" spans="2:32">
      <c r="H46" s="59" t="s">
        <v>66</v>
      </c>
      <c r="I46" s="58">
        <f ca="1">SUM(I34:I44)</f>
        <v>18688.86</v>
      </c>
    </row>
    <row r="48" spans="2:32" s="49" customFormat="1" ht="2.25" customHeight="1">
      <c r="B48" s="50"/>
      <c r="C48" s="57" t="s">
        <v>65</v>
      </c>
      <c r="D48" s="56">
        <f ca="1">SUM(H34:H40)</f>
        <v>6.2557340000000006E-3</v>
      </c>
      <c r="E48" s="55">
        <f ca="1">SUM(I34:I40)</f>
        <v>9383.6</v>
      </c>
    </row>
    <row r="49" spans="2:28" s="48" customFormat="1" ht="2.25" customHeight="1">
      <c r="B49" s="50"/>
      <c r="C49" s="54" t="s">
        <v>64</v>
      </c>
      <c r="D49" s="53" t="str">
        <f>"sber_ann_"&amp;D6</f>
        <v>sber_ann_m</v>
      </c>
      <c r="E49" s="52">
        <f ca="1">$E$34*VLOOKUP(xx,INDIRECT($D$49),nn-3,0)/1000</f>
        <v>11565.850155531944</v>
      </c>
      <c r="F49" s="51">
        <f ca="1">E48/E49</f>
        <v>0.8113195202958623</v>
      </c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</row>
  </sheetData>
  <dataValidations disablePrompts="1" count="4">
    <dataValidation type="list" allowBlank="1" showInputMessage="1" showErrorMessage="1" sqref="D19" xr:uid="{00000000-0002-0000-0700-000000000000}">
      <formula1>"1,2,4,12"</formula1>
    </dataValidation>
    <dataValidation type="list" allowBlank="1" showInputMessage="1" showErrorMessage="1" sqref="D15" xr:uid="{00000000-0002-0000-0700-000001000000}">
      <formula1>"Рубли, Доллары США"</formula1>
    </dataValidation>
    <dataValidation type="date" allowBlank="1" showInputMessage="1" showErrorMessage="1" sqref="D7" xr:uid="{00000000-0002-0000-0700-000002000000}">
      <formula1>18264</formula1>
      <formula2>40179</formula2>
    </dataValidation>
    <dataValidation type="list" allowBlank="1" showInputMessage="1" showErrorMessage="1" sqref="D6" xr:uid="{00000000-0002-0000-0700-000003000000}">
      <formula1>"m,f"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>
    <tabColor theme="9"/>
  </sheetPr>
  <dimension ref="B2:S33"/>
  <sheetViews>
    <sheetView topLeftCell="B1" zoomScale="90" zoomScaleNormal="90" workbookViewId="0">
      <selection activeCell="N22" sqref="N22"/>
    </sheetView>
  </sheetViews>
  <sheetFormatPr defaultColWidth="9.140625" defaultRowHeight="12.75"/>
  <cols>
    <col min="1" max="1" width="9.140625" style="86"/>
    <col min="2" max="2" width="13.42578125" style="87" customWidth="1"/>
    <col min="3" max="7" width="13.42578125" style="86" customWidth="1"/>
    <col min="8" max="8" width="9.140625" style="86"/>
    <col min="9" max="15" width="11.140625" style="87" customWidth="1"/>
    <col min="16" max="16" width="11.140625" style="86" customWidth="1"/>
    <col min="17" max="18" width="13.42578125" style="86" bestFit="1" customWidth="1"/>
    <col min="19" max="16384" width="9.140625" style="86"/>
  </cols>
  <sheetData>
    <row r="2" spans="2:18">
      <c r="B2" s="99" t="s">
        <v>106</v>
      </c>
      <c r="I2" s="95" t="s">
        <v>73</v>
      </c>
      <c r="J2" s="95"/>
    </row>
    <row r="3" spans="2:18">
      <c r="B3" s="87" t="s">
        <v>105</v>
      </c>
      <c r="C3" s="90">
        <v>1</v>
      </c>
      <c r="D3" s="90">
        <v>2</v>
      </c>
      <c r="E3" s="90">
        <v>3</v>
      </c>
      <c r="F3" s="90">
        <v>4</v>
      </c>
      <c r="G3" s="90">
        <v>5</v>
      </c>
      <c r="K3" s="87" t="s">
        <v>104</v>
      </c>
      <c r="L3" s="87" t="s">
        <v>103</v>
      </c>
      <c r="M3" s="87" t="s">
        <v>102</v>
      </c>
    </row>
    <row r="4" spans="2:18">
      <c r="B4" s="90">
        <v>1</v>
      </c>
      <c r="C4" s="89">
        <v>0.2</v>
      </c>
      <c r="D4" s="88"/>
      <c r="E4" s="88"/>
      <c r="F4" s="88"/>
      <c r="G4" s="88"/>
      <c r="I4" s="87" t="s">
        <v>2</v>
      </c>
      <c r="K4" s="98">
        <f>0.807/1000</f>
        <v>8.070000000000001E-4</v>
      </c>
      <c r="L4" s="97">
        <v>0.2</v>
      </c>
      <c r="M4" s="96">
        <f>K4*(1+L4)</f>
        <v>9.6840000000000012E-4</v>
      </c>
    </row>
    <row r="5" spans="2:18">
      <c r="B5" s="90">
        <v>2</v>
      </c>
      <c r="C5" s="89">
        <v>0.2</v>
      </c>
      <c r="D5" s="88"/>
      <c r="E5" s="88"/>
      <c r="F5" s="88"/>
      <c r="G5" s="88"/>
      <c r="I5" s="87" t="s">
        <v>72</v>
      </c>
      <c r="K5" s="98">
        <f>0.202/1000</f>
        <v>2.02E-4</v>
      </c>
      <c r="L5" s="97">
        <v>0.2</v>
      </c>
      <c r="M5" s="96">
        <f>K5*(1+L5)</f>
        <v>2.4239999999999998E-4</v>
      </c>
    </row>
    <row r="6" spans="2:18">
      <c r="B6" s="90">
        <v>3</v>
      </c>
      <c r="C6" s="89">
        <v>0.2</v>
      </c>
      <c r="D6" s="88"/>
      <c r="E6" s="88"/>
      <c r="F6" s="88"/>
      <c r="G6" s="88"/>
      <c r="I6" s="87" t="s">
        <v>71</v>
      </c>
      <c r="K6" s="98">
        <v>1.32E-3</v>
      </c>
      <c r="L6" s="97">
        <v>0.2</v>
      </c>
      <c r="M6" s="96">
        <f>K6*(1+L6)</f>
        <v>1.5839999999999999E-3</v>
      </c>
    </row>
    <row r="7" spans="2:18">
      <c r="B7" s="90">
        <v>4</v>
      </c>
      <c r="C7" s="89">
        <v>0.2</v>
      </c>
      <c r="D7" s="88"/>
      <c r="E7" s="88"/>
      <c r="F7" s="88"/>
      <c r="G7" s="88"/>
    </row>
    <row r="8" spans="2:18">
      <c r="B8" s="90">
        <v>5</v>
      </c>
      <c r="C8" s="89">
        <v>0.3</v>
      </c>
      <c r="D8" s="88"/>
      <c r="E8" s="88"/>
      <c r="F8" s="88"/>
      <c r="G8" s="88"/>
      <c r="I8" s="95" t="s">
        <v>101</v>
      </c>
      <c r="J8" s="95"/>
    </row>
    <row r="9" spans="2:18">
      <c r="B9" s="90">
        <v>6</v>
      </c>
      <c r="C9" s="89">
        <v>0.3</v>
      </c>
      <c r="D9" s="88"/>
      <c r="E9" s="88"/>
      <c r="F9" s="88"/>
      <c r="G9" s="88"/>
      <c r="I9" s="87" t="s">
        <v>95</v>
      </c>
      <c r="J9" s="87" t="s">
        <v>4</v>
      </c>
      <c r="O9" s="86"/>
    </row>
    <row r="10" spans="2:18">
      <c r="B10" s="90">
        <v>7</v>
      </c>
      <c r="C10" s="89">
        <v>0.3</v>
      </c>
      <c r="D10" s="88"/>
      <c r="E10" s="88"/>
      <c r="F10" s="88"/>
      <c r="G10" s="88"/>
      <c r="I10" s="90">
        <v>1</v>
      </c>
      <c r="J10" s="94">
        <v>1</v>
      </c>
      <c r="O10" s="86"/>
    </row>
    <row r="11" spans="2:18">
      <c r="B11" s="90">
        <v>8</v>
      </c>
      <c r="C11" s="89">
        <v>0.3</v>
      </c>
      <c r="D11" s="88"/>
      <c r="E11" s="88"/>
      <c r="F11" s="88"/>
      <c r="G11" s="88"/>
      <c r="I11" s="90">
        <v>2</v>
      </c>
      <c r="J11" s="94">
        <v>0.51</v>
      </c>
      <c r="O11" s="86"/>
    </row>
    <row r="12" spans="2:18">
      <c r="B12" s="90">
        <v>9</v>
      </c>
      <c r="C12" s="89">
        <v>0.3</v>
      </c>
      <c r="D12" s="88"/>
      <c r="E12" s="88"/>
      <c r="F12" s="88"/>
      <c r="G12" s="88"/>
      <c r="I12" s="90">
        <v>4</v>
      </c>
      <c r="J12" s="94">
        <v>0.25750000000000001</v>
      </c>
      <c r="O12" s="86"/>
    </row>
    <row r="13" spans="2:18">
      <c r="B13" s="90">
        <v>10</v>
      </c>
      <c r="C13" s="89">
        <v>0.4</v>
      </c>
      <c r="D13" s="88"/>
      <c r="E13" s="88"/>
      <c r="F13" s="88"/>
      <c r="G13" s="88"/>
      <c r="I13" s="90">
        <v>12</v>
      </c>
      <c r="J13" s="94">
        <v>8.6699999999999999E-2</v>
      </c>
      <c r="O13" s="86"/>
    </row>
    <row r="14" spans="2:18">
      <c r="B14" s="90">
        <v>11</v>
      </c>
      <c r="C14" s="89">
        <v>0.4</v>
      </c>
      <c r="D14" s="88"/>
      <c r="E14" s="88"/>
      <c r="F14" s="88"/>
      <c r="G14" s="88"/>
    </row>
    <row r="15" spans="2:18">
      <c r="B15" s="90">
        <v>12</v>
      </c>
      <c r="C15" s="89">
        <v>0.4</v>
      </c>
      <c r="D15" s="88"/>
      <c r="E15" s="88"/>
      <c r="F15" s="88"/>
      <c r="G15" s="88"/>
      <c r="I15" s="276" t="s">
        <v>100</v>
      </c>
      <c r="K15" s="87">
        <v>1</v>
      </c>
      <c r="L15" s="87">
        <v>2</v>
      </c>
      <c r="M15" s="87">
        <v>3</v>
      </c>
      <c r="N15" s="87">
        <v>4</v>
      </c>
      <c r="O15" s="87">
        <v>5</v>
      </c>
      <c r="P15" s="87" t="s">
        <v>250</v>
      </c>
    </row>
    <row r="16" spans="2:18">
      <c r="B16" s="90">
        <v>13</v>
      </c>
      <c r="C16" s="89">
        <v>0.4</v>
      </c>
      <c r="D16" s="88"/>
      <c r="E16" s="88"/>
      <c r="F16" s="88"/>
      <c r="G16" s="88"/>
      <c r="I16" s="93" t="s">
        <v>69</v>
      </c>
      <c r="J16" s="92">
        <v>1</v>
      </c>
      <c r="K16" s="277">
        <f>5054+1684+500</f>
        <v>7238</v>
      </c>
      <c r="L16" s="92">
        <f t="shared" ref="L16:O17" si="0">K16*(1+$J$18)</f>
        <v>7961.8000000000011</v>
      </c>
      <c r="M16" s="92">
        <f t="shared" si="0"/>
        <v>8757.9800000000014</v>
      </c>
      <c r="N16" s="92">
        <f t="shared" si="0"/>
        <v>9633.7780000000021</v>
      </c>
      <c r="O16" s="92">
        <f t="shared" si="0"/>
        <v>10597.155800000002</v>
      </c>
      <c r="P16" s="92">
        <f ca="1">IF(Расчет!$F$18=0,0,SUM(K16:OFFSET(K16,0,Расчет!$F$18-1))/Расчет!$F$18)</f>
        <v>8837.742760000001</v>
      </c>
      <c r="Q16" s="275">
        <f ca="1">ROUND(P16*J16,-1)</f>
        <v>8840</v>
      </c>
      <c r="R16" s="87"/>
    </row>
    <row r="17" spans="2:19">
      <c r="B17" s="90">
        <v>14</v>
      </c>
      <c r="C17" s="89">
        <v>0.4</v>
      </c>
      <c r="D17" s="88"/>
      <c r="E17" s="88"/>
      <c r="F17" s="88"/>
      <c r="G17" s="88"/>
      <c r="I17" s="93" t="s">
        <v>68</v>
      </c>
      <c r="J17" s="92">
        <v>110</v>
      </c>
      <c r="K17" s="277">
        <f>283.57+94.52+500/J17</f>
        <v>382.63545454545454</v>
      </c>
      <c r="L17" s="92">
        <f t="shared" si="0"/>
        <v>420.899</v>
      </c>
      <c r="M17" s="92">
        <f t="shared" si="0"/>
        <v>462.98890000000006</v>
      </c>
      <c r="N17" s="92">
        <f t="shared" si="0"/>
        <v>509.28779000000009</v>
      </c>
      <c r="O17" s="92">
        <f t="shared" si="0"/>
        <v>560.21656900000016</v>
      </c>
      <c r="P17" s="92">
        <f ca="1">IF(Расчет!$F$18=0,0,SUM(K17:OFFSET(K17,0,Расчет!$F$18-1))/Расчет!$F$18)</f>
        <v>467.20554270909099</v>
      </c>
      <c r="Q17" s="275">
        <f ca="1">ROUND(P17*J17,-1)</f>
        <v>51390</v>
      </c>
    </row>
    <row r="18" spans="2:19">
      <c r="B18" s="90">
        <v>15</v>
      </c>
      <c r="C18" s="89">
        <v>0.5</v>
      </c>
      <c r="D18" s="88"/>
      <c r="E18" s="88"/>
      <c r="F18" s="88"/>
      <c r="G18" s="88"/>
      <c r="I18" s="87" t="s">
        <v>249</v>
      </c>
      <c r="J18" s="89">
        <v>0.1</v>
      </c>
    </row>
    <row r="19" spans="2:19">
      <c r="B19" s="90">
        <v>16</v>
      </c>
      <c r="C19" s="89">
        <v>0.5</v>
      </c>
      <c r="D19" s="88"/>
      <c r="E19" s="88"/>
      <c r="F19" s="88"/>
      <c r="G19" s="88"/>
    </row>
    <row r="20" spans="2:19">
      <c r="B20" s="90">
        <v>17</v>
      </c>
      <c r="C20" s="89">
        <v>0.5</v>
      </c>
      <c r="D20" s="88"/>
      <c r="E20" s="88"/>
      <c r="F20" s="88"/>
      <c r="G20" s="88"/>
      <c r="I20" s="86"/>
      <c r="J20" s="50" t="s">
        <v>99</v>
      </c>
      <c r="K20" s="91">
        <v>65</v>
      </c>
      <c r="P20" s="87"/>
    </row>
    <row r="21" spans="2:19">
      <c r="B21" s="90">
        <v>18</v>
      </c>
      <c r="C21" s="89">
        <v>0.5</v>
      </c>
      <c r="D21" s="88"/>
      <c r="E21" s="88"/>
      <c r="F21" s="88"/>
      <c r="G21" s="88"/>
      <c r="I21" s="86"/>
      <c r="J21" s="50" t="s">
        <v>98</v>
      </c>
      <c r="K21" s="91">
        <v>65</v>
      </c>
      <c r="N21" s="234"/>
      <c r="P21" s="87"/>
    </row>
    <row r="22" spans="2:19">
      <c r="B22" s="90">
        <v>19</v>
      </c>
      <c r="C22" s="89">
        <v>0.5</v>
      </c>
      <c r="D22" s="88"/>
      <c r="E22" s="88"/>
      <c r="F22" s="88"/>
      <c r="G22" s="88"/>
      <c r="N22" s="234"/>
      <c r="O22" s="234"/>
      <c r="P22" s="234"/>
      <c r="Q22" s="234"/>
      <c r="R22" s="234"/>
      <c r="S22" s="234"/>
    </row>
    <row r="23" spans="2:19">
      <c r="B23" s="90">
        <v>20</v>
      </c>
      <c r="C23" s="89">
        <v>0.6</v>
      </c>
      <c r="D23" s="88"/>
      <c r="E23" s="88"/>
      <c r="F23" s="88"/>
      <c r="G23" s="88"/>
    </row>
    <row r="24" spans="2:19">
      <c r="B24" s="90">
        <v>21</v>
      </c>
      <c r="C24" s="89">
        <v>0.6</v>
      </c>
      <c r="D24" s="88"/>
      <c r="E24" s="88"/>
      <c r="F24" s="88"/>
      <c r="G24" s="88"/>
      <c r="N24" s="233"/>
    </row>
    <row r="25" spans="2:19">
      <c r="B25" s="90">
        <v>22</v>
      </c>
      <c r="C25" s="89">
        <v>0.6</v>
      </c>
      <c r="D25" s="88"/>
      <c r="E25" s="88"/>
      <c r="F25" s="88"/>
      <c r="G25" s="88"/>
    </row>
    <row r="26" spans="2:19">
      <c r="B26" s="90">
        <v>23</v>
      </c>
      <c r="C26" s="89">
        <v>0.6</v>
      </c>
      <c r="D26" s="88"/>
      <c r="E26" s="88"/>
      <c r="F26" s="88"/>
      <c r="G26" s="88"/>
    </row>
    <row r="27" spans="2:19">
      <c r="B27" s="90">
        <v>24</v>
      </c>
      <c r="C27" s="89">
        <v>0.6</v>
      </c>
      <c r="D27" s="88"/>
      <c r="E27" s="88"/>
      <c r="F27" s="88"/>
      <c r="G27" s="88"/>
    </row>
    <row r="28" spans="2:19">
      <c r="B28" s="90">
        <v>25</v>
      </c>
      <c r="C28" s="89">
        <v>0.6</v>
      </c>
      <c r="D28" s="88"/>
      <c r="E28" s="88"/>
      <c r="F28" s="88"/>
      <c r="G28" s="88"/>
    </row>
    <row r="29" spans="2:19">
      <c r="B29" s="90">
        <v>26</v>
      </c>
      <c r="C29" s="89">
        <v>0.6</v>
      </c>
      <c r="D29" s="88"/>
      <c r="E29" s="88"/>
      <c r="F29" s="88"/>
      <c r="G29" s="88"/>
    </row>
    <row r="30" spans="2:19">
      <c r="B30" s="90">
        <v>27</v>
      </c>
      <c r="C30" s="89">
        <v>0.6</v>
      </c>
      <c r="D30" s="88"/>
      <c r="E30" s="88"/>
      <c r="F30" s="88"/>
      <c r="G30" s="88"/>
    </row>
    <row r="31" spans="2:19">
      <c r="B31" s="90">
        <v>28</v>
      </c>
      <c r="C31" s="89">
        <v>0.6</v>
      </c>
      <c r="D31" s="88"/>
      <c r="E31" s="88"/>
      <c r="F31" s="88"/>
      <c r="G31" s="88"/>
    </row>
    <row r="32" spans="2:19">
      <c r="B32" s="90">
        <v>29</v>
      </c>
      <c r="C32" s="89">
        <v>0.6</v>
      </c>
      <c r="D32" s="88"/>
      <c r="E32" s="88"/>
      <c r="F32" s="88"/>
      <c r="G32" s="88"/>
    </row>
    <row r="33" spans="2:7">
      <c r="B33" s="90">
        <v>30</v>
      </c>
      <c r="C33" s="89">
        <v>0.6</v>
      </c>
      <c r="D33" s="88"/>
      <c r="E33" s="88"/>
      <c r="F33" s="88"/>
      <c r="G33" s="88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2">
    <tabColor theme="9"/>
  </sheetPr>
  <dimension ref="B2:BD117"/>
  <sheetViews>
    <sheetView topLeftCell="A2" zoomScale="85" zoomScaleNormal="85" workbookViewId="0">
      <selection activeCell="O45" sqref="O45"/>
    </sheetView>
  </sheetViews>
  <sheetFormatPr defaultColWidth="8.85546875" defaultRowHeight="12.75"/>
  <cols>
    <col min="1" max="1" width="2" style="100" customWidth="1"/>
    <col min="2" max="2" width="8.85546875" style="100"/>
    <col min="3" max="28" width="7.42578125" style="100" customWidth="1"/>
    <col min="29" max="29" width="2.5703125" style="100" customWidth="1"/>
    <col min="30" max="30" width="9.5703125" style="100" customWidth="1"/>
    <col min="31" max="56" width="7.42578125" style="100" customWidth="1"/>
    <col min="57" max="16384" width="8.85546875" style="100"/>
  </cols>
  <sheetData>
    <row r="2" spans="2:56">
      <c r="B2" s="101" t="s">
        <v>112</v>
      </c>
      <c r="AD2" s="101" t="s">
        <v>112</v>
      </c>
    </row>
    <row r="4" spans="2:56" ht="12.75" customHeight="1">
      <c r="B4" s="237" t="s">
        <v>110</v>
      </c>
      <c r="C4" s="560" t="s">
        <v>108</v>
      </c>
      <c r="D4" s="561"/>
      <c r="E4" s="561"/>
      <c r="F4" s="561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  <c r="U4" s="561"/>
      <c r="V4" s="561"/>
      <c r="W4" s="561"/>
      <c r="X4" s="561"/>
      <c r="Y4" s="561"/>
      <c r="Z4" s="561"/>
      <c r="AA4" s="561"/>
      <c r="AB4" s="562"/>
      <c r="AD4" s="237" t="s">
        <v>109</v>
      </c>
      <c r="AE4" s="560" t="s">
        <v>108</v>
      </c>
      <c r="AF4" s="561"/>
      <c r="AG4" s="561"/>
      <c r="AH4" s="561"/>
      <c r="AI4" s="561"/>
      <c r="AJ4" s="561"/>
      <c r="AK4" s="561"/>
      <c r="AL4" s="561"/>
      <c r="AM4" s="561"/>
      <c r="AN4" s="561"/>
      <c r="AO4" s="561"/>
      <c r="AP4" s="561"/>
      <c r="AQ4" s="561"/>
      <c r="AR4" s="561"/>
      <c r="AS4" s="561"/>
      <c r="AT4" s="561"/>
      <c r="AU4" s="561"/>
      <c r="AV4" s="561"/>
      <c r="AW4" s="561"/>
      <c r="AX4" s="561"/>
      <c r="AY4" s="561"/>
      <c r="AZ4" s="561"/>
      <c r="BA4" s="561"/>
      <c r="BB4" s="561"/>
      <c r="BC4" s="561"/>
      <c r="BD4" s="562"/>
    </row>
    <row r="5" spans="2:56">
      <c r="B5" s="236" t="s">
        <v>107</v>
      </c>
      <c r="C5" s="236">
        <v>5</v>
      </c>
      <c r="D5" s="236">
        <v>6</v>
      </c>
      <c r="E5" s="236">
        <v>7</v>
      </c>
      <c r="F5" s="236">
        <v>8</v>
      </c>
      <c r="G5" s="236">
        <v>9</v>
      </c>
      <c r="H5" s="236">
        <v>10</v>
      </c>
      <c r="I5" s="236">
        <v>11</v>
      </c>
      <c r="J5" s="236">
        <v>12</v>
      </c>
      <c r="K5" s="236">
        <v>13</v>
      </c>
      <c r="L5" s="236">
        <v>14</v>
      </c>
      <c r="M5" s="236">
        <v>15</v>
      </c>
      <c r="N5" s="236">
        <v>16</v>
      </c>
      <c r="O5" s="236">
        <v>17</v>
      </c>
      <c r="P5" s="236">
        <v>18</v>
      </c>
      <c r="Q5" s="236">
        <v>19</v>
      </c>
      <c r="R5" s="236">
        <v>20</v>
      </c>
      <c r="S5" s="236">
        <v>21</v>
      </c>
      <c r="T5" s="236">
        <v>22</v>
      </c>
      <c r="U5" s="236">
        <v>23</v>
      </c>
      <c r="V5" s="236">
        <v>24</v>
      </c>
      <c r="W5" s="236">
        <v>25</v>
      </c>
      <c r="X5" s="236">
        <v>26</v>
      </c>
      <c r="Y5" s="236">
        <v>27</v>
      </c>
      <c r="Z5" s="236">
        <v>28</v>
      </c>
      <c r="AA5" s="236">
        <v>29</v>
      </c>
      <c r="AB5" s="236">
        <v>30</v>
      </c>
      <c r="AD5" s="236" t="s">
        <v>107</v>
      </c>
      <c r="AE5" s="236">
        <v>5</v>
      </c>
      <c r="AF5" s="236">
        <v>6</v>
      </c>
      <c r="AG5" s="236">
        <v>7</v>
      </c>
      <c r="AH5" s="236">
        <v>8</v>
      </c>
      <c r="AI5" s="236">
        <v>9</v>
      </c>
      <c r="AJ5" s="236">
        <v>10</v>
      </c>
      <c r="AK5" s="236">
        <v>11</v>
      </c>
      <c r="AL5" s="236">
        <v>12</v>
      </c>
      <c r="AM5" s="236">
        <v>13</v>
      </c>
      <c r="AN5" s="236">
        <v>14</v>
      </c>
      <c r="AO5" s="236">
        <v>15</v>
      </c>
      <c r="AP5" s="236">
        <v>16</v>
      </c>
      <c r="AQ5" s="236">
        <v>17</v>
      </c>
      <c r="AR5" s="236">
        <v>18</v>
      </c>
      <c r="AS5" s="236">
        <v>19</v>
      </c>
      <c r="AT5" s="236">
        <v>20</v>
      </c>
      <c r="AU5" s="236">
        <v>21</v>
      </c>
      <c r="AV5" s="236">
        <v>22</v>
      </c>
      <c r="AW5" s="236">
        <v>23</v>
      </c>
      <c r="AX5" s="236">
        <v>24</v>
      </c>
      <c r="AY5" s="236">
        <v>25</v>
      </c>
      <c r="AZ5" s="236">
        <v>26</v>
      </c>
      <c r="BA5" s="236">
        <v>27</v>
      </c>
      <c r="BB5" s="236">
        <v>28</v>
      </c>
      <c r="BC5" s="236">
        <v>29</v>
      </c>
      <c r="BD5" s="236">
        <v>30</v>
      </c>
    </row>
    <row r="6" spans="2:56">
      <c r="B6" s="236">
        <v>18</v>
      </c>
      <c r="C6" s="235">
        <v>4.6581460857360515</v>
      </c>
      <c r="D6" s="235">
        <v>4.7351925816358991</v>
      </c>
      <c r="E6" s="235">
        <v>4.8145169167855828</v>
      </c>
      <c r="F6" s="235">
        <v>4.8960579379292071</v>
      </c>
      <c r="G6" s="235">
        <v>4.9785548328320388</v>
      </c>
      <c r="H6" s="235">
        <v>5.060953723637172</v>
      </c>
      <c r="I6" s="235">
        <v>5.1428655657223548</v>
      </c>
      <c r="J6" s="235">
        <v>5.223913043099766</v>
      </c>
      <c r="K6" s="235">
        <v>5.303622538709436</v>
      </c>
      <c r="L6" s="235">
        <v>5.3833352785013373</v>
      </c>
      <c r="M6" s="235">
        <v>5.4624493115234003</v>
      </c>
      <c r="N6" s="235">
        <v>5.5409860647672726</v>
      </c>
      <c r="O6" s="235">
        <v>5.6188299375885054</v>
      </c>
      <c r="P6" s="235">
        <v>5.6963272883620917</v>
      </c>
      <c r="Q6" s="235">
        <v>5.7743607058895767</v>
      </c>
      <c r="R6" s="235">
        <v>5.8533278012478043</v>
      </c>
      <c r="S6" s="235">
        <v>5.9341605258550505</v>
      </c>
      <c r="T6" s="235">
        <v>6.0178003157127273</v>
      </c>
      <c r="U6" s="235">
        <v>6.1052030352895068</v>
      </c>
      <c r="V6" s="235">
        <v>6.1955716843871445</v>
      </c>
      <c r="W6" s="235">
        <v>6.2897094600584627</v>
      </c>
      <c r="X6" s="235">
        <v>6.3880896136993748</v>
      </c>
      <c r="Y6" s="235">
        <v>6.491186934577228</v>
      </c>
      <c r="Z6" s="235">
        <v>6.5992441731110079</v>
      </c>
      <c r="AA6" s="235">
        <v>6.7121439888144767</v>
      </c>
      <c r="AB6" s="235">
        <v>6.829845240679683</v>
      </c>
      <c r="AD6" s="236">
        <v>18</v>
      </c>
      <c r="AE6" s="235">
        <v>3.9507241896613396</v>
      </c>
      <c r="AF6" s="235">
        <v>3.9727562315812475</v>
      </c>
      <c r="AG6" s="235">
        <v>3.995936946584024</v>
      </c>
      <c r="AH6" s="235">
        <v>4.0203116570914315</v>
      </c>
      <c r="AI6" s="235">
        <v>4.0455477658935912</v>
      </c>
      <c r="AJ6" s="235">
        <v>4.0712896434617152</v>
      </c>
      <c r="AK6" s="235">
        <v>4.0973109213912009</v>
      </c>
      <c r="AL6" s="235">
        <v>4.1237042142978932</v>
      </c>
      <c r="AM6" s="235">
        <v>4.1503047166367297</v>
      </c>
      <c r="AN6" s="235">
        <v>4.1786108473911332</v>
      </c>
      <c r="AO6" s="235">
        <v>4.2086351707511369</v>
      </c>
      <c r="AP6" s="235">
        <v>4.2404758180637732</v>
      </c>
      <c r="AQ6" s="235">
        <v>4.2740771694411679</v>
      </c>
      <c r="AR6" s="235">
        <v>4.3093675336883619</v>
      </c>
      <c r="AS6" s="235">
        <v>4.3467916680775485</v>
      </c>
      <c r="AT6" s="235">
        <v>4.3862747111353366</v>
      </c>
      <c r="AU6" s="235">
        <v>4.4280928598327067</v>
      </c>
      <c r="AV6" s="235">
        <v>4.4725586072663823</v>
      </c>
      <c r="AW6" s="235">
        <v>4.5201679075510173</v>
      </c>
      <c r="AX6" s="235">
        <v>4.5700928241337007</v>
      </c>
      <c r="AY6" s="235">
        <v>4.6229429411900567</v>
      </c>
      <c r="AZ6" s="235">
        <v>4.6789246101162982</v>
      </c>
      <c r="BA6" s="235">
        <v>4.7384525265906534</v>
      </c>
      <c r="BB6" s="235">
        <v>4.8017464852800007</v>
      </c>
      <c r="BC6" s="235">
        <v>4.8687425618017386</v>
      </c>
      <c r="BD6" s="235">
        <v>4.9395254931390173</v>
      </c>
    </row>
    <row r="7" spans="2:56">
      <c r="B7" s="236">
        <v>19</v>
      </c>
      <c r="C7" s="235">
        <v>4.81427223684409</v>
      </c>
      <c r="D7" s="235">
        <v>4.896096121368589</v>
      </c>
      <c r="E7" s="235">
        <v>4.9801685852358544</v>
      </c>
      <c r="F7" s="235">
        <v>5.065057060659627</v>
      </c>
      <c r="G7" s="235">
        <v>5.1496297136543028</v>
      </c>
      <c r="H7" s="235">
        <v>5.2335219217114268</v>
      </c>
      <c r="I7" s="235">
        <v>5.3163707014032084</v>
      </c>
      <c r="J7" s="235">
        <v>5.3976999537983481</v>
      </c>
      <c r="K7" s="235">
        <v>5.4790187648315385</v>
      </c>
      <c r="L7" s="235">
        <v>5.5596781110192754</v>
      </c>
      <c r="M7" s="235">
        <v>5.6397146414255879</v>
      </c>
      <c r="N7" s="235">
        <v>5.7190131191140159</v>
      </c>
      <c r="O7" s="235">
        <v>5.7979551026228062</v>
      </c>
      <c r="P7" s="235">
        <v>5.8774915509218868</v>
      </c>
      <c r="Q7" s="235">
        <v>5.9580432523232938</v>
      </c>
      <c r="R7" s="235">
        <v>6.0405988218713622</v>
      </c>
      <c r="S7" s="235">
        <v>6.1261498372369001</v>
      </c>
      <c r="T7" s="235">
        <v>6.2156977533756681</v>
      </c>
      <c r="U7" s="235">
        <v>6.3083781195915201</v>
      </c>
      <c r="V7" s="235">
        <v>6.4050320088945245</v>
      </c>
      <c r="W7" s="235">
        <v>6.5061479898697669</v>
      </c>
      <c r="X7" s="235">
        <v>6.6122157182857348</v>
      </c>
      <c r="Y7" s="235">
        <v>6.7234794379092495</v>
      </c>
      <c r="Z7" s="235">
        <v>6.8398045023223704</v>
      </c>
      <c r="AA7" s="235">
        <v>6.9611389034520252</v>
      </c>
      <c r="AB7" s="235">
        <v>7.0874498317108818</v>
      </c>
      <c r="AD7" s="236">
        <v>19</v>
      </c>
      <c r="AE7" s="235">
        <v>3.9949132228251449</v>
      </c>
      <c r="AF7" s="235">
        <v>4.0189572341795419</v>
      </c>
      <c r="AG7" s="235">
        <v>4.0442504837090683</v>
      </c>
      <c r="AH7" s="235">
        <v>4.0704010224684026</v>
      </c>
      <c r="AI7" s="235">
        <v>4.0970149741952415</v>
      </c>
      <c r="AJ7" s="235">
        <v>4.123855917843998</v>
      </c>
      <c r="AK7" s="235">
        <v>4.1510432896116125</v>
      </c>
      <c r="AL7" s="235">
        <v>4.1784047876421901</v>
      </c>
      <c r="AM7" s="235">
        <v>4.2075898548919097</v>
      </c>
      <c r="AN7" s="235">
        <v>4.2385942964821046</v>
      </c>
      <c r="AO7" s="235">
        <v>4.2715113365085804</v>
      </c>
      <c r="AP7" s="235">
        <v>4.3062699132786051</v>
      </c>
      <c r="AQ7" s="235">
        <v>4.3427851727038833</v>
      </c>
      <c r="AR7" s="235">
        <v>4.3815292488917912</v>
      </c>
      <c r="AS7" s="235">
        <v>4.4224141917229707</v>
      </c>
      <c r="AT7" s="235">
        <v>4.465729333344691</v>
      </c>
      <c r="AU7" s="235">
        <v>4.5118012673223626</v>
      </c>
      <c r="AV7" s="235">
        <v>4.5611503088882506</v>
      </c>
      <c r="AW7" s="235">
        <v>4.6128892236566452</v>
      </c>
      <c r="AX7" s="235">
        <v>4.6676613392985074</v>
      </c>
      <c r="AY7" s="235">
        <v>4.725679997337294</v>
      </c>
      <c r="AZ7" s="235">
        <v>4.7873783404944765</v>
      </c>
      <c r="BA7" s="235">
        <v>4.852982512821356</v>
      </c>
      <c r="BB7" s="235">
        <v>4.922419549184089</v>
      </c>
      <c r="BC7" s="235">
        <v>4.9957742355820436</v>
      </c>
      <c r="BD7" s="235">
        <v>5.0731087148081873</v>
      </c>
    </row>
    <row r="8" spans="2:56">
      <c r="B8" s="236">
        <v>20</v>
      </c>
      <c r="C8" s="235">
        <v>4.9808181645581113</v>
      </c>
      <c r="D8" s="235">
        <v>5.0674118204818095</v>
      </c>
      <c r="E8" s="235">
        <v>5.1546474390281345</v>
      </c>
      <c r="F8" s="235">
        <v>5.241308608228092</v>
      </c>
      <c r="G8" s="235">
        <v>5.3270742676135105</v>
      </c>
      <c r="H8" s="235">
        <v>5.4116051937267295</v>
      </c>
      <c r="I8" s="235">
        <v>5.4944256792989794</v>
      </c>
      <c r="J8" s="235">
        <v>5.5772434630926089</v>
      </c>
      <c r="K8" s="235">
        <v>5.6593502498273471</v>
      </c>
      <c r="L8" s="235">
        <v>5.7407982254816874</v>
      </c>
      <c r="M8" s="235">
        <v>5.8214707261156668</v>
      </c>
      <c r="N8" s="235">
        <v>5.9017876522117083</v>
      </c>
      <c r="O8" s="235">
        <v>5.9827748348589802</v>
      </c>
      <c r="P8" s="235">
        <v>6.0648761990269326</v>
      </c>
      <c r="Q8" s="235">
        <v>6.149140722318239</v>
      </c>
      <c r="R8" s="235">
        <v>6.2366125153677165</v>
      </c>
      <c r="S8" s="235">
        <v>6.3283402150840447</v>
      </c>
      <c r="T8" s="235">
        <v>6.4233824591684128</v>
      </c>
      <c r="U8" s="235">
        <v>6.5226200289627396</v>
      </c>
      <c r="V8" s="235">
        <v>6.6265564189563193</v>
      </c>
      <c r="W8" s="235">
        <v>6.7356958394817159</v>
      </c>
      <c r="X8" s="235">
        <v>6.8502827089985185</v>
      </c>
      <c r="Y8" s="235">
        <v>6.9701624741173056</v>
      </c>
      <c r="Z8" s="235">
        <v>7.0952705306541164</v>
      </c>
      <c r="AA8" s="235">
        <v>7.2255644338389464</v>
      </c>
      <c r="AB8" s="235">
        <v>7.3614776154918058</v>
      </c>
      <c r="AD8" s="236">
        <v>20</v>
      </c>
      <c r="AE8" s="235">
        <v>4.0428754168125547</v>
      </c>
      <c r="AF8" s="235">
        <v>4.0691515018090589</v>
      </c>
      <c r="AG8" s="235">
        <v>4.0962620747507756</v>
      </c>
      <c r="AH8" s="235">
        <v>4.1237725027143268</v>
      </c>
      <c r="AI8" s="235">
        <v>4.1514411824340058</v>
      </c>
      <c r="AJ8" s="235">
        <v>4.1794247250021117</v>
      </c>
      <c r="AK8" s="235">
        <v>4.2075436310953025</v>
      </c>
      <c r="AL8" s="235">
        <v>4.2376253688148173</v>
      </c>
      <c r="AM8" s="235">
        <v>4.2696416283827272</v>
      </c>
      <c r="AN8" s="235">
        <v>4.3036771928699427</v>
      </c>
      <c r="AO8" s="235">
        <v>4.339641538275286</v>
      </c>
      <c r="AP8" s="235">
        <v>4.3774339152531354</v>
      </c>
      <c r="AQ8" s="235">
        <v>4.4175566426458008</v>
      </c>
      <c r="AR8" s="235">
        <v>4.4599062747094349</v>
      </c>
      <c r="AS8" s="235">
        <v>4.5047862285252886</v>
      </c>
      <c r="AT8" s="235">
        <v>4.5525380866544038</v>
      </c>
      <c r="AU8" s="235">
        <v>4.6037082953066921</v>
      </c>
      <c r="AV8" s="235">
        <v>4.6573438590428493</v>
      </c>
      <c r="AW8" s="235">
        <v>4.7141249381169539</v>
      </c>
      <c r="AX8" s="235">
        <v>4.7742721440450655</v>
      </c>
      <c r="AY8" s="235">
        <v>4.8382382937352268</v>
      </c>
      <c r="AZ8" s="235">
        <v>4.9062559679722693</v>
      </c>
      <c r="BA8" s="235">
        <v>4.9782420397260871</v>
      </c>
      <c r="BB8" s="235">
        <v>5.0542810811505863</v>
      </c>
      <c r="BC8" s="235">
        <v>5.1344342724337784</v>
      </c>
      <c r="BD8" s="235">
        <v>5.2191255843829198</v>
      </c>
    </row>
    <row r="9" spans="2:56">
      <c r="B9" s="236">
        <v>21</v>
      </c>
      <c r="C9" s="235">
        <v>5.1570244780176218</v>
      </c>
      <c r="D9" s="235">
        <v>5.2466272596673242</v>
      </c>
      <c r="E9" s="235">
        <v>5.3353197436474922</v>
      </c>
      <c r="F9" s="235">
        <v>5.422864402051184</v>
      </c>
      <c r="G9" s="235">
        <v>5.5089635337499354</v>
      </c>
      <c r="H9" s="235">
        <v>5.5931477307623112</v>
      </c>
      <c r="I9" s="235">
        <v>5.6773637332751656</v>
      </c>
      <c r="J9" s="235">
        <v>5.7608273890841497</v>
      </c>
      <c r="K9" s="235">
        <v>5.8436065908558206</v>
      </c>
      <c r="L9" s="235">
        <v>5.9255809018980052</v>
      </c>
      <c r="M9" s="235">
        <v>6.0072122888084101</v>
      </c>
      <c r="N9" s="235">
        <v>6.0896090274022434</v>
      </c>
      <c r="O9" s="235">
        <v>6.1732378013540634</v>
      </c>
      <c r="P9" s="235">
        <v>6.2592120143934338</v>
      </c>
      <c r="Q9" s="235">
        <v>6.3486307841896288</v>
      </c>
      <c r="R9" s="235">
        <v>6.4425914689235526</v>
      </c>
      <c r="S9" s="235">
        <v>6.5400647032615131</v>
      </c>
      <c r="T9" s="235">
        <v>6.6419730249838542</v>
      </c>
      <c r="U9" s="235">
        <v>6.7488343511111708</v>
      </c>
      <c r="V9" s="235">
        <v>6.8611670526629105</v>
      </c>
      <c r="W9" s="235">
        <v>6.9792142146304084</v>
      </c>
      <c r="X9" s="235">
        <v>7.1027984663926187</v>
      </c>
      <c r="Y9" s="235">
        <v>7.2318407136057274</v>
      </c>
      <c r="Z9" s="235">
        <v>7.3662874914500405</v>
      </c>
      <c r="AA9" s="235">
        <v>7.5065885935045662</v>
      </c>
      <c r="AB9" s="235">
        <v>7.6643253112832062</v>
      </c>
      <c r="AD9" s="236">
        <v>21</v>
      </c>
      <c r="AE9" s="235">
        <v>4.0949461597374173</v>
      </c>
      <c r="AF9" s="235">
        <v>4.123086985954</v>
      </c>
      <c r="AG9" s="235">
        <v>4.1515266844892587</v>
      </c>
      <c r="AH9" s="235">
        <v>4.1800312504815222</v>
      </c>
      <c r="AI9" s="235">
        <v>4.2088110459679147</v>
      </c>
      <c r="AJ9" s="235">
        <v>4.2376803899353241</v>
      </c>
      <c r="AK9" s="235">
        <v>4.2686795191609974</v>
      </c>
      <c r="AL9" s="235">
        <v>4.3017452235572247</v>
      </c>
      <c r="AM9" s="235">
        <v>4.3369488195396482</v>
      </c>
      <c r="AN9" s="235">
        <v>4.3741751303605527</v>
      </c>
      <c r="AO9" s="235">
        <v>4.4133041788895646</v>
      </c>
      <c r="AP9" s="235">
        <v>4.4548718667921321</v>
      </c>
      <c r="AQ9" s="235">
        <v>4.4987563760573837</v>
      </c>
      <c r="AR9" s="235">
        <v>4.5452763537822101</v>
      </c>
      <c r="AS9" s="235">
        <v>4.5947894052199354</v>
      </c>
      <c r="AT9" s="235">
        <v>4.6478701269496954</v>
      </c>
      <c r="AU9" s="235">
        <v>4.7034923218759159</v>
      </c>
      <c r="AV9" s="235">
        <v>4.7623765789042878</v>
      </c>
      <c r="AW9" s="235">
        <v>4.8247511114635175</v>
      </c>
      <c r="AX9" s="235">
        <v>4.8910898008623818</v>
      </c>
      <c r="AY9" s="235">
        <v>4.961631752381626</v>
      </c>
      <c r="AZ9" s="235">
        <v>5.0362824165527416</v>
      </c>
      <c r="BA9" s="235">
        <v>5.1151258664387367</v>
      </c>
      <c r="BB9" s="235">
        <v>5.1982220308517775</v>
      </c>
      <c r="BC9" s="235">
        <v>5.286013355584128</v>
      </c>
      <c r="BD9" s="235">
        <v>5.3854317261755895</v>
      </c>
    </row>
    <row r="10" spans="2:56">
      <c r="B10" s="236">
        <v>22</v>
      </c>
      <c r="C10" s="235">
        <v>5.3413476720204933</v>
      </c>
      <c r="D10" s="235">
        <v>5.4319053006394284</v>
      </c>
      <c r="E10" s="235">
        <v>5.5210403878313965</v>
      </c>
      <c r="F10" s="235">
        <v>5.6085156077782621</v>
      </c>
      <c r="G10" s="235">
        <v>5.6938704129035731</v>
      </c>
      <c r="H10" s="235">
        <v>5.7793392282543889</v>
      </c>
      <c r="I10" s="235">
        <v>5.864035227596446</v>
      </c>
      <c r="J10" s="235">
        <v>5.9480395506282457</v>
      </c>
      <c r="K10" s="235">
        <v>6.0312232410503741</v>
      </c>
      <c r="L10" s="235">
        <v>6.114093644281188</v>
      </c>
      <c r="M10" s="235">
        <v>6.1978495253741386</v>
      </c>
      <c r="N10" s="235">
        <v>6.2829788106371858</v>
      </c>
      <c r="O10" s="235">
        <v>6.3706633108575934</v>
      </c>
      <c r="P10" s="235">
        <v>6.4620592972713089</v>
      </c>
      <c r="Q10" s="235">
        <v>6.5583139843922948</v>
      </c>
      <c r="R10" s="235">
        <v>6.658296685783232</v>
      </c>
      <c r="S10" s="235">
        <v>6.7629738278359355</v>
      </c>
      <c r="T10" s="235">
        <v>6.8728769675614245</v>
      </c>
      <c r="U10" s="235">
        <v>6.988538028242135</v>
      </c>
      <c r="V10" s="235">
        <v>7.110196935579169</v>
      </c>
      <c r="W10" s="235">
        <v>7.2376501557691286</v>
      </c>
      <c r="X10" s="235">
        <v>7.3708019604922939</v>
      </c>
      <c r="Y10" s="235">
        <v>7.5095863251863451</v>
      </c>
      <c r="Z10" s="235">
        <v>7.6544702398474787</v>
      </c>
      <c r="AA10" s="235">
        <v>7.8176508023286235</v>
      </c>
      <c r="AB10" s="235">
        <v>7.9866566980759215</v>
      </c>
      <c r="AD10" s="236">
        <v>22</v>
      </c>
      <c r="AE10" s="235">
        <v>4.1515768806185713</v>
      </c>
      <c r="AF10" s="235">
        <v>4.180877853645633</v>
      </c>
      <c r="AG10" s="235">
        <v>4.2101438794960693</v>
      </c>
      <c r="AH10" s="235">
        <v>4.2396550339993606</v>
      </c>
      <c r="AI10" s="235">
        <v>4.2692149425194117</v>
      </c>
      <c r="AJ10" s="235">
        <v>4.3011181596713746</v>
      </c>
      <c r="AK10" s="235">
        <v>4.3352477014145157</v>
      </c>
      <c r="AL10" s="235">
        <v>4.3716524401669696</v>
      </c>
      <c r="AM10" s="235">
        <v>4.4101845821528904</v>
      </c>
      <c r="AN10" s="235">
        <v>4.4507000069384359</v>
      </c>
      <c r="AO10" s="235">
        <v>4.4937717840106259</v>
      </c>
      <c r="AP10" s="235">
        <v>4.5392558093849695</v>
      </c>
      <c r="AQ10" s="235">
        <v>4.5874870231742939</v>
      </c>
      <c r="AR10" s="235">
        <v>4.638840005324754</v>
      </c>
      <c r="AS10" s="235">
        <v>4.6939196146491931</v>
      </c>
      <c r="AT10" s="235">
        <v>4.7516176634012268</v>
      </c>
      <c r="AU10" s="235">
        <v>4.812699254610795</v>
      </c>
      <c r="AV10" s="235">
        <v>4.8774004905468473</v>
      </c>
      <c r="AW10" s="235">
        <v>4.9462178093802152</v>
      </c>
      <c r="AX10" s="235">
        <v>5.0193968513421217</v>
      </c>
      <c r="AY10" s="235">
        <v>5.0968301569833798</v>
      </c>
      <c r="AZ10" s="235">
        <v>5.1786009365691621</v>
      </c>
      <c r="BA10" s="235">
        <v>5.2647675120521091</v>
      </c>
      <c r="BB10" s="235">
        <v>5.355792028986972</v>
      </c>
      <c r="BC10" s="235">
        <v>5.4589676542155994</v>
      </c>
      <c r="BD10" s="235">
        <v>5.5674393340671333</v>
      </c>
    </row>
    <row r="11" spans="2:56">
      <c r="B11" s="236">
        <v>23</v>
      </c>
      <c r="C11" s="235">
        <v>5.5307879448846586</v>
      </c>
      <c r="D11" s="235">
        <v>5.6212449179068873</v>
      </c>
      <c r="E11" s="235">
        <v>5.7098450177504985</v>
      </c>
      <c r="F11" s="235">
        <v>5.7961322457415436</v>
      </c>
      <c r="G11" s="235">
        <v>5.8826889635633357</v>
      </c>
      <c r="H11" s="235">
        <v>5.9684831349724972</v>
      </c>
      <c r="I11" s="235">
        <v>6.0536033309935018</v>
      </c>
      <c r="J11" s="235">
        <v>6.1379045195170896</v>
      </c>
      <c r="K11" s="235">
        <v>6.2219426555774655</v>
      </c>
      <c r="L11" s="235">
        <v>6.3070159974088549</v>
      </c>
      <c r="M11" s="235">
        <v>6.3936309876562145</v>
      </c>
      <c r="N11" s="235">
        <v>6.4830419519727203</v>
      </c>
      <c r="O11" s="235">
        <v>6.5764642364292225</v>
      </c>
      <c r="P11" s="235">
        <v>6.6750957049296931</v>
      </c>
      <c r="Q11" s="235">
        <v>6.7776884706949785</v>
      </c>
      <c r="R11" s="235">
        <v>6.8852552594175611</v>
      </c>
      <c r="S11" s="235">
        <v>6.9983402946486475</v>
      </c>
      <c r="T11" s="235">
        <v>7.1174883129281117</v>
      </c>
      <c r="U11" s="235">
        <v>7.2429339886444986</v>
      </c>
      <c r="V11" s="235">
        <v>7.3744438664573142</v>
      </c>
      <c r="W11" s="235">
        <v>7.5119032398691719</v>
      </c>
      <c r="X11" s="235">
        <v>7.6552318864991031</v>
      </c>
      <c r="Y11" s="235">
        <v>7.8049150121245585</v>
      </c>
      <c r="Z11" s="235">
        <v>7.9738133072313744</v>
      </c>
      <c r="AA11" s="235">
        <v>8.1487362913744903</v>
      </c>
      <c r="AB11" s="235">
        <v>8.3294410575661022</v>
      </c>
      <c r="AD11" s="236">
        <v>23</v>
      </c>
      <c r="AE11" s="235">
        <v>4.2113900314669586</v>
      </c>
      <c r="AF11" s="235">
        <v>4.2413595121522532</v>
      </c>
      <c r="AG11" s="235">
        <v>4.2715527544207941</v>
      </c>
      <c r="AH11" s="235">
        <v>4.3017567856417314</v>
      </c>
      <c r="AI11" s="235">
        <v>4.3345766130669992</v>
      </c>
      <c r="AJ11" s="235">
        <v>4.3698132265986338</v>
      </c>
      <c r="AK11" s="235">
        <v>4.4074808088623527</v>
      </c>
      <c r="AL11" s="235">
        <v>4.4473890590574152</v>
      </c>
      <c r="AM11" s="235">
        <v>4.4893641685033989</v>
      </c>
      <c r="AN11" s="235">
        <v>4.5340213333713706</v>
      </c>
      <c r="AO11" s="235">
        <v>4.5811897568156761</v>
      </c>
      <c r="AP11" s="235">
        <v>4.6312222996410091</v>
      </c>
      <c r="AQ11" s="235">
        <v>4.6845118814418578</v>
      </c>
      <c r="AR11" s="235">
        <v>4.7416962510418719</v>
      </c>
      <c r="AS11" s="235">
        <v>4.8015751231952972</v>
      </c>
      <c r="AT11" s="235">
        <v>4.8649630823103838</v>
      </c>
      <c r="AU11" s="235">
        <v>4.9321045771746954</v>
      </c>
      <c r="AV11" s="235">
        <v>5.0035204008743239</v>
      </c>
      <c r="AW11" s="235">
        <v>5.0794627983946281</v>
      </c>
      <c r="AX11" s="235">
        <v>5.1598097745853906</v>
      </c>
      <c r="AY11" s="235">
        <v>5.244643333151588</v>
      </c>
      <c r="AZ11" s="235">
        <v>5.3340198520376498</v>
      </c>
      <c r="BA11" s="235">
        <v>5.4284225947963032</v>
      </c>
      <c r="BB11" s="235">
        <v>5.5355335215748829</v>
      </c>
      <c r="BC11" s="235">
        <v>5.6481059772103892</v>
      </c>
      <c r="BD11" s="235">
        <v>5.7661814055387461</v>
      </c>
    </row>
    <row r="12" spans="2:56">
      <c r="B12" s="236">
        <v>24</v>
      </c>
      <c r="C12" s="235">
        <v>5.722903828208846</v>
      </c>
      <c r="D12" s="235">
        <v>5.8123152225200165</v>
      </c>
      <c r="E12" s="235">
        <v>5.8992572420007123</v>
      </c>
      <c r="F12" s="235">
        <v>5.9867344433167187</v>
      </c>
      <c r="G12" s="235">
        <v>6.0735005527915789</v>
      </c>
      <c r="H12" s="235">
        <v>6.1596408826384259</v>
      </c>
      <c r="I12" s="235">
        <v>6.2449831920097489</v>
      </c>
      <c r="J12" s="235">
        <v>6.3301355917201825</v>
      </c>
      <c r="K12" s="235">
        <v>6.4165063915252336</v>
      </c>
      <c r="L12" s="235">
        <v>6.5046164189436597</v>
      </c>
      <c r="M12" s="235">
        <v>6.5957969623564034</v>
      </c>
      <c r="N12" s="235">
        <v>6.6913242103253374</v>
      </c>
      <c r="O12" s="235">
        <v>6.792447154417915</v>
      </c>
      <c r="P12" s="235">
        <v>6.8977817959019694</v>
      </c>
      <c r="Q12" s="235">
        <v>7.0083900742284166</v>
      </c>
      <c r="R12" s="235">
        <v>7.1248278016495261</v>
      </c>
      <c r="S12" s="235">
        <v>7.2476517399860052</v>
      </c>
      <c r="T12" s="235">
        <v>7.3770889963845399</v>
      </c>
      <c r="U12" s="235">
        <v>7.5128720329742613</v>
      </c>
      <c r="V12" s="235">
        <v>7.6548646640352391</v>
      </c>
      <c r="W12" s="235">
        <v>7.8029707858793493</v>
      </c>
      <c r="X12" s="235">
        <v>7.9576951124633348</v>
      </c>
      <c r="Y12" s="235">
        <v>8.132615214141655</v>
      </c>
      <c r="Z12" s="235">
        <v>8.3137601847563971</v>
      </c>
      <c r="AA12" s="235">
        <v>8.50087349273449</v>
      </c>
      <c r="AB12" s="235">
        <v>8.6936282076369622</v>
      </c>
      <c r="AD12" s="236">
        <v>24</v>
      </c>
      <c r="AE12" s="235">
        <v>4.2737246917946319</v>
      </c>
      <c r="AF12" s="235">
        <v>4.3045085638330107</v>
      </c>
      <c r="AG12" s="235">
        <v>4.3352812405461272</v>
      </c>
      <c r="AH12" s="235">
        <v>4.3690304409091478</v>
      </c>
      <c r="AI12" s="235">
        <v>4.4054277028270059</v>
      </c>
      <c r="AJ12" s="235">
        <v>4.4444335716704186</v>
      </c>
      <c r="AK12" s="235">
        <v>4.4858017274839188</v>
      </c>
      <c r="AL12" s="235">
        <v>4.5293218001584954</v>
      </c>
      <c r="AM12" s="235">
        <v>4.5756575777422634</v>
      </c>
      <c r="AN12" s="235">
        <v>4.6246062318138446</v>
      </c>
      <c r="AO12" s="235">
        <v>4.6765406965600942</v>
      </c>
      <c r="AP12" s="235">
        <v>4.7318739414847979</v>
      </c>
      <c r="AQ12" s="235">
        <v>4.7912797216420149</v>
      </c>
      <c r="AR12" s="235">
        <v>4.8534538010454078</v>
      </c>
      <c r="AS12" s="235">
        <v>4.9192662189805283</v>
      </c>
      <c r="AT12" s="235">
        <v>4.9889703566903192</v>
      </c>
      <c r="AU12" s="235">
        <v>5.0631134571021539</v>
      </c>
      <c r="AV12" s="235">
        <v>5.141954447322501</v>
      </c>
      <c r="AW12" s="235">
        <v>5.2253549555800047</v>
      </c>
      <c r="AX12" s="235">
        <v>5.3133954173926803</v>
      </c>
      <c r="AY12" s="235">
        <v>5.4061299159049847</v>
      </c>
      <c r="AZ12" s="235">
        <v>5.504064444281501</v>
      </c>
      <c r="BA12" s="235">
        <v>5.6153003593204494</v>
      </c>
      <c r="BB12" s="235">
        <v>5.732166260208567</v>
      </c>
      <c r="BC12" s="235">
        <v>5.8547029100124348</v>
      </c>
      <c r="BD12" s="235">
        <v>5.9828771150271827</v>
      </c>
    </row>
    <row r="13" spans="2:56">
      <c r="B13" s="236">
        <v>25</v>
      </c>
      <c r="C13" s="235">
        <v>5.9148503274275948</v>
      </c>
      <c r="D13" s="235">
        <v>6.0021769552438897</v>
      </c>
      <c r="E13" s="235">
        <v>6.0904592939049493</v>
      </c>
      <c r="F13" s="235">
        <v>6.1781251855459285</v>
      </c>
      <c r="G13" s="235">
        <v>6.2652417665752544</v>
      </c>
      <c r="H13" s="235">
        <v>6.3515957854533607</v>
      </c>
      <c r="I13" s="235">
        <v>6.4378533627437742</v>
      </c>
      <c r="J13" s="235">
        <v>6.5255467130124876</v>
      </c>
      <c r="K13" s="235">
        <v>6.615205806448083</v>
      </c>
      <c r="L13" s="235">
        <v>6.708244390409746</v>
      </c>
      <c r="M13" s="235">
        <v>6.8060014975776202</v>
      </c>
      <c r="N13" s="235">
        <v>6.9097776609714572</v>
      </c>
      <c r="O13" s="235">
        <v>7.0180303790698124</v>
      </c>
      <c r="P13" s="235">
        <v>7.1318746607059573</v>
      </c>
      <c r="Q13" s="235">
        <v>7.2518769421828484</v>
      </c>
      <c r="R13" s="235">
        <v>7.3786053589010994</v>
      </c>
      <c r="S13" s="235">
        <v>7.5122770278037336</v>
      </c>
      <c r="T13" s="235">
        <v>7.6525858283138968</v>
      </c>
      <c r="U13" s="235">
        <v>7.7993715328333435</v>
      </c>
      <c r="V13" s="235">
        <v>7.9525205254727194</v>
      </c>
      <c r="W13" s="235">
        <v>8.1125587269841191</v>
      </c>
      <c r="X13" s="235">
        <v>8.2938402882773232</v>
      </c>
      <c r="Y13" s="235">
        <v>8.4815452336551953</v>
      </c>
      <c r="Z13" s="235">
        <v>8.6754032557004397</v>
      </c>
      <c r="AA13" s="235">
        <v>8.875071436577965</v>
      </c>
      <c r="AB13" s="235">
        <v>9.0803793888831521</v>
      </c>
      <c r="AD13" s="236">
        <v>25</v>
      </c>
      <c r="AE13" s="235">
        <v>4.3381728841370277</v>
      </c>
      <c r="AF13" s="235">
        <v>4.3694446951962389</v>
      </c>
      <c r="AG13" s="235">
        <v>4.4041779536773928</v>
      </c>
      <c r="AH13" s="235">
        <v>4.4418360533002623</v>
      </c>
      <c r="AI13" s="235">
        <v>4.4822990783620762</v>
      </c>
      <c r="AJ13" s="235">
        <v>4.5252480825614914</v>
      </c>
      <c r="AK13" s="235">
        <v>4.5704291024884105</v>
      </c>
      <c r="AL13" s="235">
        <v>4.618564214127483</v>
      </c>
      <c r="AM13" s="235">
        <v>4.6694127306720175</v>
      </c>
      <c r="AN13" s="235">
        <v>4.723371070581754</v>
      </c>
      <c r="AO13" s="235">
        <v>4.7808747985837652</v>
      </c>
      <c r="AP13" s="235">
        <v>4.8426376837463447</v>
      </c>
      <c r="AQ13" s="235">
        <v>4.9072377220937442</v>
      </c>
      <c r="AR13" s="235">
        <v>4.9756078300046891</v>
      </c>
      <c r="AS13" s="235">
        <v>5.0480111998859352</v>
      </c>
      <c r="AT13" s="235">
        <v>5.1250240816655888</v>
      </c>
      <c r="AU13" s="235">
        <v>5.2069122482741124</v>
      </c>
      <c r="AV13" s="235">
        <v>5.2935189191476439</v>
      </c>
      <c r="AW13" s="235">
        <v>5.3849226362561406</v>
      </c>
      <c r="AX13" s="235">
        <v>5.481174869324569</v>
      </c>
      <c r="AY13" s="235">
        <v>5.5828062177862474</v>
      </c>
      <c r="AZ13" s="235">
        <v>5.6983716366473276</v>
      </c>
      <c r="BA13" s="235">
        <v>5.8197377712189811</v>
      </c>
      <c r="BB13" s="235">
        <v>5.9469448342250919</v>
      </c>
      <c r="BC13" s="235">
        <v>6.0799557054588549</v>
      </c>
      <c r="BD13" s="235">
        <v>6.2187880231984494</v>
      </c>
    </row>
    <row r="14" spans="2:56">
      <c r="B14" s="236">
        <v>26</v>
      </c>
      <c r="C14" s="235">
        <v>6.1030390513744921</v>
      </c>
      <c r="D14" s="235">
        <v>6.1922285934686023</v>
      </c>
      <c r="E14" s="235">
        <v>6.2808954149660394</v>
      </c>
      <c r="F14" s="235">
        <v>6.3690845124797724</v>
      </c>
      <c r="G14" s="235">
        <v>6.4565342784860027</v>
      </c>
      <c r="H14" s="235">
        <v>6.5439844703131511</v>
      </c>
      <c r="I14" s="235">
        <v>6.6331134639916778</v>
      </c>
      <c r="J14" s="235">
        <v>6.724455956747402</v>
      </c>
      <c r="K14" s="235">
        <v>6.8195167042621181</v>
      </c>
      <c r="L14" s="235">
        <v>6.9197010179564451</v>
      </c>
      <c r="M14" s="235">
        <v>7.0263621212434337</v>
      </c>
      <c r="N14" s="235">
        <v>7.1377728875732549</v>
      </c>
      <c r="O14" s="235">
        <v>7.2551070379056126</v>
      </c>
      <c r="P14" s="235">
        <v>7.3789412555341567</v>
      </c>
      <c r="Q14" s="235">
        <v>7.5098549135295771</v>
      </c>
      <c r="R14" s="235">
        <v>7.6480528638933034</v>
      </c>
      <c r="S14" s="235">
        <v>7.7931857268239906</v>
      </c>
      <c r="T14" s="235">
        <v>7.9450667923295644</v>
      </c>
      <c r="U14" s="235">
        <v>8.1035635257459724</v>
      </c>
      <c r="V14" s="235">
        <v>8.2692253613371793</v>
      </c>
      <c r="W14" s="235">
        <v>8.4572502693703413</v>
      </c>
      <c r="X14" s="235">
        <v>8.6518920188562412</v>
      </c>
      <c r="Y14" s="235">
        <v>8.8528667616246342</v>
      </c>
      <c r="Z14" s="235">
        <v>9.0598156279863193</v>
      </c>
      <c r="AA14" s="235">
        <v>9.2725633447842171</v>
      </c>
      <c r="AB14" s="235">
        <v>9.4908574024036589</v>
      </c>
      <c r="AD14" s="236">
        <v>26</v>
      </c>
      <c r="AE14" s="235">
        <v>4.4036613660351875</v>
      </c>
      <c r="AF14" s="235">
        <v>4.4395436759510041</v>
      </c>
      <c r="AG14" s="235">
        <v>4.478660934959235</v>
      </c>
      <c r="AH14" s="235">
        <v>4.5207804526698707</v>
      </c>
      <c r="AI14" s="235">
        <v>4.5654944051986215</v>
      </c>
      <c r="AJ14" s="235">
        <v>4.6125012904006581</v>
      </c>
      <c r="AK14" s="235">
        <v>4.6625976965820684</v>
      </c>
      <c r="AL14" s="235">
        <v>4.715499722482301</v>
      </c>
      <c r="AM14" s="235">
        <v>4.7716331409546395</v>
      </c>
      <c r="AN14" s="235">
        <v>4.8314602293014408</v>
      </c>
      <c r="AO14" s="235">
        <v>4.8957402255044347</v>
      </c>
      <c r="AP14" s="235">
        <v>4.9629172793371721</v>
      </c>
      <c r="AQ14" s="235">
        <v>5.0339966308389279</v>
      </c>
      <c r="AR14" s="235">
        <v>5.1092526460262446</v>
      </c>
      <c r="AS14" s="235">
        <v>5.189293787660624</v>
      </c>
      <c r="AT14" s="235">
        <v>5.274392998583262</v>
      </c>
      <c r="AU14" s="235">
        <v>5.3643728731459595</v>
      </c>
      <c r="AV14" s="235">
        <v>5.4593098178934971</v>
      </c>
      <c r="AW14" s="235">
        <v>5.5592524409922479</v>
      </c>
      <c r="AX14" s="235">
        <v>5.6647581606194857</v>
      </c>
      <c r="AY14" s="235">
        <v>5.7848739222417063</v>
      </c>
      <c r="AZ14" s="235">
        <v>5.9109624687940814</v>
      </c>
      <c r="BA14" s="235">
        <v>6.0430637250248216</v>
      </c>
      <c r="BB14" s="235">
        <v>6.1811366314482186</v>
      </c>
      <c r="BC14" s="235">
        <v>6.3251986137737628</v>
      </c>
      <c r="BD14" s="235">
        <v>6.4749723898231686</v>
      </c>
    </row>
    <row r="15" spans="2:56">
      <c r="B15" s="236">
        <v>27</v>
      </c>
      <c r="C15" s="235">
        <v>6.2918386745704371</v>
      </c>
      <c r="D15" s="235">
        <v>6.3816926756061934</v>
      </c>
      <c r="E15" s="235">
        <v>6.4711091221684685</v>
      </c>
      <c r="F15" s="235">
        <v>6.5597779055360563</v>
      </c>
      <c r="G15" s="235">
        <v>6.6485397056662459</v>
      </c>
      <c r="H15" s="235">
        <v>6.739250303194499</v>
      </c>
      <c r="I15" s="235">
        <v>6.832443150859647</v>
      </c>
      <c r="J15" s="235">
        <v>6.9297247685990717</v>
      </c>
      <c r="K15" s="235">
        <v>7.032570530639398</v>
      </c>
      <c r="L15" s="235">
        <v>7.1423872625291551</v>
      </c>
      <c r="M15" s="235">
        <v>7.2572314582977855</v>
      </c>
      <c r="N15" s="235">
        <v>7.3783429329971106</v>
      </c>
      <c r="O15" s="235">
        <v>7.5063085093332775</v>
      </c>
      <c r="P15" s="235">
        <v>7.6417189150192559</v>
      </c>
      <c r="Q15" s="235">
        <v>7.7847643263653952</v>
      </c>
      <c r="R15" s="235">
        <v>7.9350469599831364</v>
      </c>
      <c r="S15" s="235">
        <v>8.0923511259851768</v>
      </c>
      <c r="T15" s="235">
        <v>8.2565240608356731</v>
      </c>
      <c r="U15" s="235">
        <v>8.4281415881542028</v>
      </c>
      <c r="V15" s="235">
        <v>8.6233213891533236</v>
      </c>
      <c r="W15" s="235">
        <v>8.8253036378621186</v>
      </c>
      <c r="X15" s="235">
        <v>9.0337915613718671</v>
      </c>
      <c r="Y15" s="235">
        <v>9.2484106771563948</v>
      </c>
      <c r="Z15" s="235">
        <v>9.4689819914151485</v>
      </c>
      <c r="AA15" s="235">
        <v>9.6952456341866586</v>
      </c>
      <c r="AB15" s="235">
        <v>9.9265596801981797</v>
      </c>
      <c r="AD15" s="236">
        <v>27</v>
      </c>
      <c r="AE15" s="235">
        <v>4.4750637136692593</v>
      </c>
      <c r="AF15" s="235">
        <v>4.5159429145124408</v>
      </c>
      <c r="AG15" s="235">
        <v>4.5599932335464128</v>
      </c>
      <c r="AH15" s="235">
        <v>4.6067066860100336</v>
      </c>
      <c r="AI15" s="235">
        <v>4.6557371477197522</v>
      </c>
      <c r="AJ15" s="235">
        <v>4.7079821139062945</v>
      </c>
      <c r="AK15" s="235">
        <v>4.7631096986408927</v>
      </c>
      <c r="AL15" s="235">
        <v>4.8215840979413969</v>
      </c>
      <c r="AM15" s="235">
        <v>4.8839002300530607</v>
      </c>
      <c r="AN15" s="235">
        <v>4.950869839004314</v>
      </c>
      <c r="AO15" s="235">
        <v>5.020783999652572</v>
      </c>
      <c r="AP15" s="235">
        <v>5.0947321505605689</v>
      </c>
      <c r="AQ15" s="235">
        <v>5.1730016241452379</v>
      </c>
      <c r="AR15" s="235">
        <v>5.2562369456402394</v>
      </c>
      <c r="AS15" s="235">
        <v>5.3447186057931502</v>
      </c>
      <c r="AT15" s="235">
        <v>5.4382460195016504</v>
      </c>
      <c r="AU15" s="235">
        <v>5.5368932258668346</v>
      </c>
      <c r="AV15" s="235">
        <v>5.6407057312708959</v>
      </c>
      <c r="AW15" s="235">
        <v>5.7502703154760555</v>
      </c>
      <c r="AX15" s="235">
        <v>5.875169134921336</v>
      </c>
      <c r="AY15" s="235">
        <v>6.0062134505870466</v>
      </c>
      <c r="AZ15" s="235">
        <v>6.1434432876504639</v>
      </c>
      <c r="BA15" s="235">
        <v>6.2868137122649026</v>
      </c>
      <c r="BB15" s="235">
        <v>6.4363422992961405</v>
      </c>
      <c r="BC15" s="235">
        <v>6.5917367176350439</v>
      </c>
      <c r="BD15" s="235">
        <v>6.7526671307619965</v>
      </c>
    </row>
    <row r="16" spans="2:56">
      <c r="B16" s="236">
        <v>28</v>
      </c>
      <c r="C16" s="235">
        <v>6.4810637553873276</v>
      </c>
      <c r="D16" s="235">
        <v>6.5718593264430796</v>
      </c>
      <c r="E16" s="235">
        <v>6.6618546738398505</v>
      </c>
      <c r="F16" s="235">
        <v>6.7520336728757266</v>
      </c>
      <c r="G16" s="235">
        <v>6.8444703995632548</v>
      </c>
      <c r="H16" s="235">
        <v>6.9396857150023354</v>
      </c>
      <c r="I16" s="235">
        <v>7.0393998033186547</v>
      </c>
      <c r="J16" s="235">
        <v>7.1451609081508067</v>
      </c>
      <c r="K16" s="235">
        <v>7.2584290332357604</v>
      </c>
      <c r="L16" s="235">
        <v>7.3770045815434022</v>
      </c>
      <c r="M16" s="235">
        <v>7.5022028437934534</v>
      </c>
      <c r="N16" s="235">
        <v>7.6346207722057624</v>
      </c>
      <c r="O16" s="235">
        <v>7.774860684035235</v>
      </c>
      <c r="P16" s="235">
        <v>7.9230953420849506</v>
      </c>
      <c r="Q16" s="235">
        <v>8.0788727268092781</v>
      </c>
      <c r="R16" s="235">
        <v>8.2419455198556211</v>
      </c>
      <c r="S16" s="235">
        <v>8.4121394683500093</v>
      </c>
      <c r="T16" s="235">
        <v>8.5900602780505881</v>
      </c>
      <c r="U16" s="235">
        <v>8.7928313310232937</v>
      </c>
      <c r="V16" s="235">
        <v>9.0025797881128167</v>
      </c>
      <c r="W16" s="235">
        <v>9.2189970131125705</v>
      </c>
      <c r="X16" s="235">
        <v>9.4416935957759112</v>
      </c>
      <c r="Y16" s="235">
        <v>9.6704883761917451</v>
      </c>
      <c r="Z16" s="235">
        <v>9.9051151991980078</v>
      </c>
      <c r="AA16" s="235">
        <v>10.144905828500274</v>
      </c>
      <c r="AB16" s="235">
        <v>10.389495825791881</v>
      </c>
      <c r="AD16" s="236">
        <v>28</v>
      </c>
      <c r="AE16" s="235">
        <v>4.5541463814814929</v>
      </c>
      <c r="AF16" s="235">
        <v>4.600460911514217</v>
      </c>
      <c r="AG16" s="235">
        <v>4.6494335613259352</v>
      </c>
      <c r="AH16" s="235">
        <v>4.7006903328768956</v>
      </c>
      <c r="AI16" s="235">
        <v>4.7552715352526995</v>
      </c>
      <c r="AJ16" s="235">
        <v>4.8127924850902781</v>
      </c>
      <c r="AK16" s="235">
        <v>4.8737686192034424</v>
      </c>
      <c r="AL16" s="235">
        <v>4.9387351405038098</v>
      </c>
      <c r="AM16" s="235">
        <v>5.0085647820389756</v>
      </c>
      <c r="AN16" s="235">
        <v>5.0813717148544599</v>
      </c>
      <c r="AO16" s="235">
        <v>5.1583443038292947</v>
      </c>
      <c r="AP16" s="235">
        <v>5.2397848899871349</v>
      </c>
      <c r="AQ16" s="235">
        <v>5.3263784664267151</v>
      </c>
      <c r="AR16" s="235">
        <v>5.4184133042355214</v>
      </c>
      <c r="AS16" s="235">
        <v>5.5156625064317293</v>
      </c>
      <c r="AT16" s="235">
        <v>5.618197400192658</v>
      </c>
      <c r="AU16" s="235">
        <v>5.7260600584292431</v>
      </c>
      <c r="AV16" s="235">
        <v>5.8398694732003591</v>
      </c>
      <c r="AW16" s="235">
        <v>5.9697918255250473</v>
      </c>
      <c r="AX16" s="235">
        <v>6.106032577436511</v>
      </c>
      <c r="AY16" s="235">
        <v>6.2486323605227456</v>
      </c>
      <c r="AZ16" s="235">
        <v>6.3975424946359984</v>
      </c>
      <c r="BA16" s="235">
        <v>6.5527811538316527</v>
      </c>
      <c r="BB16" s="235">
        <v>6.7140401980455433</v>
      </c>
      <c r="BC16" s="235">
        <v>6.8809738717819382</v>
      </c>
      <c r="BD16" s="235">
        <v>7.0533180831772633</v>
      </c>
    </row>
    <row r="17" spans="2:56">
      <c r="B17" s="236">
        <v>29</v>
      </c>
      <c r="C17" s="235">
        <v>6.6715269843740108</v>
      </c>
      <c r="D17" s="235">
        <v>6.7629791311020426</v>
      </c>
      <c r="E17" s="235">
        <v>6.8546961779551996</v>
      </c>
      <c r="F17" s="235">
        <v>6.9490295152325716</v>
      </c>
      <c r="G17" s="235">
        <v>7.0464687235946011</v>
      </c>
      <c r="H17" s="235">
        <v>7.1488621233391898</v>
      </c>
      <c r="I17" s="235">
        <v>7.2578327939470579</v>
      </c>
      <c r="J17" s="235">
        <v>7.3748921300416219</v>
      </c>
      <c r="K17" s="235">
        <v>7.4975347177357037</v>
      </c>
      <c r="L17" s="235">
        <v>7.6271640808053851</v>
      </c>
      <c r="M17" s="235">
        <v>7.7643878909393012</v>
      </c>
      <c r="N17" s="235">
        <v>7.9098207896477737</v>
      </c>
      <c r="O17" s="235">
        <v>8.0636152487418862</v>
      </c>
      <c r="P17" s="235">
        <v>8.2252585572989876</v>
      </c>
      <c r="Q17" s="235">
        <v>8.3944691337577897</v>
      </c>
      <c r="R17" s="235">
        <v>8.5710501971616111</v>
      </c>
      <c r="S17" s="235">
        <v>8.7556416928074405</v>
      </c>
      <c r="T17" s="235">
        <v>8.9664707219415973</v>
      </c>
      <c r="U17" s="235">
        <v>9.1844376680175017</v>
      </c>
      <c r="V17" s="235">
        <v>9.409223738385025</v>
      </c>
      <c r="W17" s="235">
        <v>9.6404257783491722</v>
      </c>
      <c r="X17" s="235">
        <v>9.8778625412827736</v>
      </c>
      <c r="Y17" s="235">
        <v>10.12126305777255</v>
      </c>
      <c r="Z17" s="235">
        <v>10.369932500982834</v>
      </c>
      <c r="AA17" s="235">
        <v>10.62349859761305</v>
      </c>
      <c r="AB17" s="235">
        <v>10.881719207534054</v>
      </c>
      <c r="AD17" s="236">
        <v>29</v>
      </c>
      <c r="AE17" s="235">
        <v>4.6431269432821711</v>
      </c>
      <c r="AF17" s="235">
        <v>4.6945904632910045</v>
      </c>
      <c r="AG17" s="235">
        <v>4.7482318245929074</v>
      </c>
      <c r="AH17" s="235">
        <v>4.8052979403988179</v>
      </c>
      <c r="AI17" s="235">
        <v>4.8653431006060321</v>
      </c>
      <c r="AJ17" s="235">
        <v>4.9289500416529135</v>
      </c>
      <c r="AK17" s="235">
        <v>4.996702547783495</v>
      </c>
      <c r="AL17" s="235">
        <v>5.0695434721089638</v>
      </c>
      <c r="AM17" s="235">
        <v>5.1453792392884079</v>
      </c>
      <c r="AN17" s="235">
        <v>5.2255151275525584</v>
      </c>
      <c r="AO17" s="235">
        <v>5.310270381811744</v>
      </c>
      <c r="AP17" s="235">
        <v>5.4003752036430361</v>
      </c>
      <c r="AQ17" s="235">
        <v>5.4961253977222242</v>
      </c>
      <c r="AR17" s="235">
        <v>5.5972636890379484</v>
      </c>
      <c r="AS17" s="235">
        <v>5.703858053239153</v>
      </c>
      <c r="AT17" s="235">
        <v>5.8159465646785851</v>
      </c>
      <c r="AU17" s="235">
        <v>5.9341835477198313</v>
      </c>
      <c r="AV17" s="235">
        <v>6.0693745464984534</v>
      </c>
      <c r="AW17" s="235">
        <v>6.2110567919463753</v>
      </c>
      <c r="AX17" s="235">
        <v>6.3592721409799466</v>
      </c>
      <c r="AY17" s="235">
        <v>6.5139683457710564</v>
      </c>
      <c r="AZ17" s="235">
        <v>6.6751647112106145</v>
      </c>
      <c r="BA17" s="235">
        <v>6.8425364634697123</v>
      </c>
      <c r="BB17" s="235">
        <v>7.0157212237706705</v>
      </c>
      <c r="BC17" s="235">
        <v>7.1944443932265285</v>
      </c>
      <c r="BD17" s="235">
        <v>7.378575521631193</v>
      </c>
    </row>
    <row r="18" spans="2:56">
      <c r="B18" s="236">
        <v>30</v>
      </c>
      <c r="C18" s="235">
        <v>6.8639162017921436</v>
      </c>
      <c r="D18" s="235">
        <v>6.9572311276373018</v>
      </c>
      <c r="E18" s="235">
        <v>7.0536091980050317</v>
      </c>
      <c r="F18" s="235">
        <v>7.1534685259601432</v>
      </c>
      <c r="G18" s="235">
        <v>7.2587991531142038</v>
      </c>
      <c r="H18" s="235">
        <v>7.3712966816346412</v>
      </c>
      <c r="I18" s="235">
        <v>7.4925183683792174</v>
      </c>
      <c r="J18" s="235">
        <v>7.6195887746866369</v>
      </c>
      <c r="K18" s="235">
        <v>7.7540168171887291</v>
      </c>
      <c r="L18" s="235">
        <v>7.8964220173857793</v>
      </c>
      <c r="M18" s="235">
        <v>8.0474325056558538</v>
      </c>
      <c r="N18" s="235">
        <v>8.2071772336663731</v>
      </c>
      <c r="O18" s="235">
        <v>8.3750754457986343</v>
      </c>
      <c r="P18" s="235">
        <v>8.5508086035352555</v>
      </c>
      <c r="Q18" s="235">
        <v>8.7341565671198218</v>
      </c>
      <c r="R18" s="235">
        <v>8.9257988613183414</v>
      </c>
      <c r="S18" s="235">
        <v>9.145178576535498</v>
      </c>
      <c r="T18" s="235">
        <v>9.3718382361379575</v>
      </c>
      <c r="U18" s="235">
        <v>9.6054513908675645</v>
      </c>
      <c r="V18" s="235">
        <v>9.8456029213459733</v>
      </c>
      <c r="W18" s="235">
        <v>10.092114185466402</v>
      </c>
      <c r="X18" s="235">
        <v>10.344711320198867</v>
      </c>
      <c r="Y18" s="235">
        <v>10.602672818802704</v>
      </c>
      <c r="Z18" s="235">
        <v>10.865619956874625</v>
      </c>
      <c r="AA18" s="235">
        <v>11.133311459000524</v>
      </c>
      <c r="AB18" s="235">
        <v>11.406163760487916</v>
      </c>
      <c r="AD18" s="236">
        <v>30</v>
      </c>
      <c r="AE18" s="235">
        <v>4.7430669218983876</v>
      </c>
      <c r="AF18" s="235">
        <v>4.7991719676747815</v>
      </c>
      <c r="AG18" s="235">
        <v>4.8588108991751797</v>
      </c>
      <c r="AH18" s="235">
        <v>4.9214587668762251</v>
      </c>
      <c r="AI18" s="235">
        <v>4.9877842179205487</v>
      </c>
      <c r="AJ18" s="235">
        <v>5.0584271189026753</v>
      </c>
      <c r="AK18" s="235">
        <v>5.1344092989214598</v>
      </c>
      <c r="AL18" s="235">
        <v>5.2133884092205838</v>
      </c>
      <c r="AM18" s="235">
        <v>5.2968088545976606</v>
      </c>
      <c r="AN18" s="235">
        <v>5.3850082495451312</v>
      </c>
      <c r="AO18" s="235">
        <v>5.4787670014016259</v>
      </c>
      <c r="AP18" s="235">
        <v>5.5783874599067138</v>
      </c>
      <c r="AQ18" s="235">
        <v>5.6835766642028593</v>
      </c>
      <c r="AR18" s="235">
        <v>5.7943982061980694</v>
      </c>
      <c r="AS18" s="235">
        <v>5.9108852991799159</v>
      </c>
      <c r="AT18" s="235">
        <v>6.0337310387284449</v>
      </c>
      <c r="AU18" s="235">
        <v>6.1744434304146942</v>
      </c>
      <c r="AV18" s="235">
        <v>6.3218192699091693</v>
      </c>
      <c r="AW18" s="235">
        <v>6.4759024359796804</v>
      </c>
      <c r="AX18" s="235">
        <v>6.6366373857954146</v>
      </c>
      <c r="AY18" s="235">
        <v>6.8040452099044222</v>
      </c>
      <c r="AZ18" s="235">
        <v>6.9777836237053945</v>
      </c>
      <c r="BA18" s="235">
        <v>7.1574728919028328</v>
      </c>
      <c r="BB18" s="235">
        <v>7.3428277556624995</v>
      </c>
      <c r="BC18" s="235">
        <v>7.5337158664599828</v>
      </c>
      <c r="BD18" s="235">
        <v>7.7305917138475664</v>
      </c>
    </row>
    <row r="19" spans="2:56">
      <c r="B19" s="236">
        <v>31</v>
      </c>
      <c r="C19" s="235">
        <v>7.0616550613370404</v>
      </c>
      <c r="D19" s="235">
        <v>7.1599803493837495</v>
      </c>
      <c r="E19" s="235">
        <v>7.2623012579326502</v>
      </c>
      <c r="F19" s="235">
        <v>7.3707341635337782</v>
      </c>
      <c r="G19" s="235">
        <v>7.487023489394951</v>
      </c>
      <c r="H19" s="235">
        <v>7.6127530361446061</v>
      </c>
      <c r="I19" s="235">
        <v>7.7445883505724034</v>
      </c>
      <c r="J19" s="235">
        <v>7.8841647329539644</v>
      </c>
      <c r="K19" s="235">
        <v>8.0321136416959362</v>
      </c>
      <c r="L19" s="235">
        <v>8.189077128299326</v>
      </c>
      <c r="M19" s="235">
        <v>8.3551559830438311</v>
      </c>
      <c r="N19" s="235">
        <v>8.5296922225528338</v>
      </c>
      <c r="O19" s="235">
        <v>8.7123270834931024</v>
      </c>
      <c r="P19" s="235">
        <v>8.9028161033399353</v>
      </c>
      <c r="Q19" s="235">
        <v>9.1018846029001992</v>
      </c>
      <c r="R19" s="235">
        <v>9.3303207565650421</v>
      </c>
      <c r="S19" s="235">
        <v>9.5661568979578693</v>
      </c>
      <c r="T19" s="235">
        <v>9.8090622879900007</v>
      </c>
      <c r="U19" s="235">
        <v>10.058612245635976</v>
      </c>
      <c r="V19" s="235">
        <v>10.314634061426876</v>
      </c>
      <c r="W19" s="235">
        <v>10.576853344314731</v>
      </c>
      <c r="X19" s="235">
        <v>10.844521964858991</v>
      </c>
      <c r="Y19" s="235">
        <v>11.117256423913437</v>
      </c>
      <c r="Z19" s="235">
        <v>11.394818335054786</v>
      </c>
      <c r="AA19" s="235">
        <v>11.677662852807998</v>
      </c>
      <c r="AB19" s="235">
        <v>11.966072078208676</v>
      </c>
      <c r="AD19" s="236">
        <v>31</v>
      </c>
      <c r="AE19" s="235">
        <v>4.8557516313544147</v>
      </c>
      <c r="AF19" s="235">
        <v>4.9177211693466703</v>
      </c>
      <c r="AG19" s="235">
        <v>4.9828104131216628</v>
      </c>
      <c r="AH19" s="235">
        <v>5.0517656645496656</v>
      </c>
      <c r="AI19" s="235">
        <v>5.1252717461528396</v>
      </c>
      <c r="AJ19" s="235">
        <v>5.2044275536967417</v>
      </c>
      <c r="AK19" s="235">
        <v>5.2865804734717328</v>
      </c>
      <c r="AL19" s="235">
        <v>5.3733384272275195</v>
      </c>
      <c r="AM19" s="235">
        <v>5.4650555841753432</v>
      </c>
      <c r="AN19" s="235">
        <v>5.5625659711473041</v>
      </c>
      <c r="AO19" s="235">
        <v>5.6661751370852373</v>
      </c>
      <c r="AP19" s="235">
        <v>5.7755465491509836</v>
      </c>
      <c r="AQ19" s="235">
        <v>5.8907371684531098</v>
      </c>
      <c r="AR19" s="235">
        <v>6.0117735689106677</v>
      </c>
      <c r="AS19" s="235">
        <v>6.1393910170526054</v>
      </c>
      <c r="AT19" s="235">
        <v>6.2858720416829614</v>
      </c>
      <c r="AU19" s="235">
        <v>6.4391886618792906</v>
      </c>
      <c r="AV19" s="235">
        <v>6.5993876251050239</v>
      </c>
      <c r="AW19" s="235">
        <v>6.7664103406376102</v>
      </c>
      <c r="AX19" s="235">
        <v>6.9402803679629903</v>
      </c>
      <c r="AY19" s="235">
        <v>7.1206368749571691</v>
      </c>
      <c r="AZ19" s="235">
        <v>7.3070819204831459</v>
      </c>
      <c r="BA19" s="235">
        <v>7.4993194003643966</v>
      </c>
      <c r="BB19" s="235">
        <v>7.6972155913379661</v>
      </c>
      <c r="BC19" s="235">
        <v>7.9012553125566747</v>
      </c>
      <c r="BD19" s="235">
        <v>8.1120593213325698</v>
      </c>
    </row>
    <row r="20" spans="2:56">
      <c r="B20" s="236">
        <v>32</v>
      </c>
      <c r="C20" s="235">
        <v>7.2649311176898248</v>
      </c>
      <c r="D20" s="235">
        <v>7.3702419938480386</v>
      </c>
      <c r="E20" s="235">
        <v>7.4823420484707093</v>
      </c>
      <c r="F20" s="235">
        <v>7.6030245953136912</v>
      </c>
      <c r="G20" s="235">
        <v>7.7338953326560036</v>
      </c>
      <c r="H20" s="235">
        <v>7.8710596946967168</v>
      </c>
      <c r="I20" s="235">
        <v>8.0163226681863478</v>
      </c>
      <c r="J20" s="235">
        <v>8.1703373830738908</v>
      </c>
      <c r="K20" s="235">
        <v>8.3337670073071255</v>
      </c>
      <c r="L20" s="235">
        <v>8.5066832742141347</v>
      </c>
      <c r="M20" s="235">
        <v>8.6883436301578225</v>
      </c>
      <c r="N20" s="235">
        <v>8.878348312411676</v>
      </c>
      <c r="O20" s="235">
        <v>9.0764298880433554</v>
      </c>
      <c r="P20" s="235">
        <v>9.2833686975741525</v>
      </c>
      <c r="Q20" s="235">
        <v>9.5214489670494338</v>
      </c>
      <c r="R20" s="235">
        <v>9.7670156401797588</v>
      </c>
      <c r="S20" s="235">
        <v>10.01973923868659</v>
      </c>
      <c r="T20" s="235">
        <v>10.279189579092122</v>
      </c>
      <c r="U20" s="235">
        <v>10.545204705582181</v>
      </c>
      <c r="V20" s="235">
        <v>10.817513191002705</v>
      </c>
      <c r="W20" s="235">
        <v>11.095341011887367</v>
      </c>
      <c r="X20" s="235">
        <v>11.378302330823381</v>
      </c>
      <c r="Y20" s="235">
        <v>11.666164363418567</v>
      </c>
      <c r="Z20" s="235">
        <v>11.959426205371129</v>
      </c>
      <c r="AA20" s="235">
        <v>12.25840061910437</v>
      </c>
      <c r="AB20" s="235">
        <v>12.562762566046136</v>
      </c>
      <c r="AD20" s="236">
        <v>32</v>
      </c>
      <c r="AE20" s="235">
        <v>4.9793816373023336</v>
      </c>
      <c r="AF20" s="235">
        <v>5.0470338225452318</v>
      </c>
      <c r="AG20" s="235">
        <v>5.1187625606928773</v>
      </c>
      <c r="AH20" s="235">
        <v>5.1953012689756752</v>
      </c>
      <c r="AI20" s="235">
        <v>5.2778352801130071</v>
      </c>
      <c r="AJ20" s="235">
        <v>5.3633291001905672</v>
      </c>
      <c r="AK20" s="235">
        <v>5.4535949218772473</v>
      </c>
      <c r="AL20" s="235">
        <v>5.5490060078302115</v>
      </c>
      <c r="AM20" s="235">
        <v>5.6504576412361773</v>
      </c>
      <c r="AN20" s="235">
        <v>5.7582567916880096</v>
      </c>
      <c r="AO20" s="235">
        <v>5.8720157079933841</v>
      </c>
      <c r="AP20" s="235">
        <v>5.9917837135759529</v>
      </c>
      <c r="AQ20" s="235">
        <v>6.1175799961991197</v>
      </c>
      <c r="AR20" s="235">
        <v>6.2501870635168126</v>
      </c>
      <c r="AS20" s="235">
        <v>6.4027462415746168</v>
      </c>
      <c r="AT20" s="235">
        <v>6.5623066472834708</v>
      </c>
      <c r="AU20" s="235">
        <v>6.7289198019022471</v>
      </c>
      <c r="AV20" s="235">
        <v>6.9025250988441709</v>
      </c>
      <c r="AW20" s="235">
        <v>7.0831499570725152</v>
      </c>
      <c r="AX20" s="235">
        <v>7.2704143343740455</v>
      </c>
      <c r="AY20" s="235">
        <v>7.4639015743319073</v>
      </c>
      <c r="AZ20" s="235">
        <v>7.6633049086811722</v>
      </c>
      <c r="BA20" s="235">
        <v>7.868490155912979</v>
      </c>
      <c r="BB20" s="235">
        <v>8.0799757423730529</v>
      </c>
      <c r="BC20" s="235">
        <v>8.298420690567804</v>
      </c>
      <c r="BD20" s="235">
        <v>8.5241547003009082</v>
      </c>
    </row>
    <row r="21" spans="2:56">
      <c r="B21" s="236">
        <v>33</v>
      </c>
      <c r="C21" s="235">
        <v>7.4789575084260216</v>
      </c>
      <c r="D21" s="235">
        <v>7.5953109773352949</v>
      </c>
      <c r="E21" s="235">
        <v>7.7210191573918294</v>
      </c>
      <c r="F21" s="235">
        <v>7.8576996869442226</v>
      </c>
      <c r="G21" s="235">
        <v>8.0007616867554621</v>
      </c>
      <c r="H21" s="235">
        <v>8.1522454039404657</v>
      </c>
      <c r="I21" s="235">
        <v>8.3128403961380606</v>
      </c>
      <c r="J21" s="235">
        <v>8.4832408627145544</v>
      </c>
      <c r="K21" s="235">
        <v>8.6634886047801487</v>
      </c>
      <c r="L21" s="235">
        <v>8.8527477918812902</v>
      </c>
      <c r="M21" s="235">
        <v>9.05057720403234</v>
      </c>
      <c r="N21" s="235">
        <v>9.2566884300378227</v>
      </c>
      <c r="O21" s="235">
        <v>9.4719279418206082</v>
      </c>
      <c r="P21" s="235">
        <v>9.7202521936096904</v>
      </c>
      <c r="Q21" s="235">
        <v>9.9761094763545266</v>
      </c>
      <c r="R21" s="235">
        <v>10.239178937691667</v>
      </c>
      <c r="S21" s="235">
        <v>10.509030207708001</v>
      </c>
      <c r="T21" s="235">
        <v>10.785518041996834</v>
      </c>
      <c r="U21" s="235">
        <v>11.068378238009913</v>
      </c>
      <c r="V21" s="235">
        <v>11.356811904230414</v>
      </c>
      <c r="W21" s="235">
        <v>11.65043376098804</v>
      </c>
      <c r="X21" s="235">
        <v>11.949019762578249</v>
      </c>
      <c r="Y21" s="235">
        <v>12.253118819868883</v>
      </c>
      <c r="Z21" s="235">
        <v>12.563078485732207</v>
      </c>
      <c r="AA21" s="235">
        <v>12.878570398498198</v>
      </c>
      <c r="AB21" s="235">
        <v>13.199253793839965</v>
      </c>
      <c r="AD21" s="236">
        <v>33</v>
      </c>
      <c r="AE21" s="235">
        <v>5.1142895369187453</v>
      </c>
      <c r="AF21" s="235">
        <v>5.1889560830636077</v>
      </c>
      <c r="AG21" s="235">
        <v>5.2687223712933546</v>
      </c>
      <c r="AH21" s="235">
        <v>5.3548712409093149</v>
      </c>
      <c r="AI21" s="235">
        <v>5.4438853061176697</v>
      </c>
      <c r="AJ21" s="235">
        <v>5.5378399711904303</v>
      </c>
      <c r="AK21" s="235">
        <v>5.6371312809907979</v>
      </c>
      <c r="AL21" s="235">
        <v>5.7427254565023675</v>
      </c>
      <c r="AM21" s="235">
        <v>5.8549283529510623</v>
      </c>
      <c r="AN21" s="235">
        <v>5.9732915560147344</v>
      </c>
      <c r="AO21" s="235">
        <v>6.0978557564690856</v>
      </c>
      <c r="AP21" s="235">
        <v>6.228632067780322</v>
      </c>
      <c r="AQ21" s="235">
        <v>6.36645638568503</v>
      </c>
      <c r="AR21" s="235">
        <v>6.5254272002042777</v>
      </c>
      <c r="AS21" s="235">
        <v>6.6915548440006578</v>
      </c>
      <c r="AT21" s="235">
        <v>6.8648983531231549</v>
      </c>
      <c r="AU21" s="235">
        <v>7.0453966904091514</v>
      </c>
      <c r="AV21" s="235">
        <v>7.2330830287042955</v>
      </c>
      <c r="AW21" s="235">
        <v>7.4275576016852192</v>
      </c>
      <c r="AX21" s="235">
        <v>7.6283846740505874</v>
      </c>
      <c r="AY21" s="235">
        <v>7.8352472024579862</v>
      </c>
      <c r="AZ21" s="235">
        <v>8.0480117262032085</v>
      </c>
      <c r="BA21" s="235">
        <v>8.2672340490821021</v>
      </c>
      <c r="BB21" s="235">
        <v>8.4936151459183105</v>
      </c>
      <c r="BC21" s="235">
        <v>8.7275059774005683</v>
      </c>
      <c r="BD21" s="235">
        <v>8.9694374175995808</v>
      </c>
    </row>
    <row r="22" spans="2:56">
      <c r="B22" s="236">
        <v>34</v>
      </c>
      <c r="C22" s="235">
        <v>7.7105667703546281</v>
      </c>
      <c r="D22" s="235">
        <v>7.8420840819571191</v>
      </c>
      <c r="E22" s="235">
        <v>7.9853662063040325</v>
      </c>
      <c r="F22" s="235">
        <v>8.134949150442047</v>
      </c>
      <c r="G22" s="235">
        <v>8.2932187196416738</v>
      </c>
      <c r="H22" s="235">
        <v>8.4609272470826902</v>
      </c>
      <c r="I22" s="235">
        <v>8.6388159421513269</v>
      </c>
      <c r="J22" s="235">
        <v>8.8268971474756128</v>
      </c>
      <c r="K22" s="235">
        <v>9.0242321779523067</v>
      </c>
      <c r="L22" s="235">
        <v>9.2303390477293288</v>
      </c>
      <c r="M22" s="235">
        <v>9.4449116961044197</v>
      </c>
      <c r="N22" s="235">
        <v>9.6688765623966972</v>
      </c>
      <c r="O22" s="235">
        <v>9.9280698721054712</v>
      </c>
      <c r="P22" s="235">
        <v>10.194793938349003</v>
      </c>
      <c r="Q22" s="235">
        <v>10.468746561334255</v>
      </c>
      <c r="R22" s="235">
        <v>10.749504323539892</v>
      </c>
      <c r="S22" s="235">
        <v>11.036946222290455</v>
      </c>
      <c r="T22" s="235">
        <v>11.33082059891</v>
      </c>
      <c r="U22" s="235">
        <v>11.630305174125311</v>
      </c>
      <c r="V22" s="235">
        <v>11.935018740296528</v>
      </c>
      <c r="W22" s="235">
        <v>12.244749678746908</v>
      </c>
      <c r="X22" s="235">
        <v>12.560103386708084</v>
      </c>
      <c r="Y22" s="235">
        <v>12.881466827543377</v>
      </c>
      <c r="Z22" s="235">
        <v>13.208509385621344</v>
      </c>
      <c r="AA22" s="235">
        <v>13.540887360314729</v>
      </c>
      <c r="AB22" s="235">
        <v>13.87853411279109</v>
      </c>
      <c r="AD22" s="236">
        <v>34</v>
      </c>
      <c r="AE22" s="235">
        <v>5.2622648299327839</v>
      </c>
      <c r="AF22" s="235">
        <v>5.3455341432084564</v>
      </c>
      <c r="AG22" s="235">
        <v>5.4356095577529402</v>
      </c>
      <c r="AH22" s="235">
        <v>5.5283576994670636</v>
      </c>
      <c r="AI22" s="235">
        <v>5.6262093009420635</v>
      </c>
      <c r="AJ22" s="235">
        <v>5.7295902064986297</v>
      </c>
      <c r="AK22" s="235">
        <v>5.8395510126579326</v>
      </c>
      <c r="AL22" s="235">
        <v>5.9563933761393839</v>
      </c>
      <c r="AM22" s="235">
        <v>6.0795967991150537</v>
      </c>
      <c r="AN22" s="235">
        <v>6.209192747525222</v>
      </c>
      <c r="AO22" s="235">
        <v>6.3451839301273489</v>
      </c>
      <c r="AP22" s="235">
        <v>6.4884673336551657</v>
      </c>
      <c r="AQ22" s="235">
        <v>6.6542145044369638</v>
      </c>
      <c r="AR22" s="235">
        <v>6.8272589374814983</v>
      </c>
      <c r="AS22" s="235">
        <v>7.0076711930078872</v>
      </c>
      <c r="AT22" s="235">
        <v>7.1953922312877108</v>
      </c>
      <c r="AU22" s="235">
        <v>7.3904636023311978</v>
      </c>
      <c r="AV22" s="235">
        <v>7.5924655696673042</v>
      </c>
      <c r="AW22" s="235">
        <v>7.800943199706909</v>
      </c>
      <c r="AX22" s="235">
        <v>8.0155698632335834</v>
      </c>
      <c r="AY22" s="235">
        <v>8.2362143484847881</v>
      </c>
      <c r="AZ22" s="235">
        <v>8.4634742086942385</v>
      </c>
      <c r="BA22" s="235">
        <v>8.6980965662104577</v>
      </c>
      <c r="BB22" s="235">
        <v>8.9404557552527297</v>
      </c>
      <c r="BC22" s="235">
        <v>9.1911141834136778</v>
      </c>
      <c r="BD22" s="235">
        <v>9.4508049681778399</v>
      </c>
    </row>
    <row r="23" spans="2:56">
      <c r="B23" s="236">
        <v>35</v>
      </c>
      <c r="C23" s="235">
        <v>7.9688108560334108</v>
      </c>
      <c r="D23" s="235">
        <v>8.1194484047448707</v>
      </c>
      <c r="E23" s="235">
        <v>8.2760762071106022</v>
      </c>
      <c r="F23" s="235">
        <v>8.4416003690493984</v>
      </c>
      <c r="G23" s="235">
        <v>8.6168701704780677</v>
      </c>
      <c r="H23" s="235">
        <v>8.8026914018524032</v>
      </c>
      <c r="I23" s="235">
        <v>8.9990442105391288</v>
      </c>
      <c r="J23" s="235">
        <v>9.2048728270548494</v>
      </c>
      <c r="K23" s="235">
        <v>9.4196543446454921</v>
      </c>
      <c r="L23" s="235">
        <v>9.643068346661261</v>
      </c>
      <c r="M23" s="235">
        <v>9.8761371659307819</v>
      </c>
      <c r="N23" s="235">
        <v>10.146822427531609</v>
      </c>
      <c r="O23" s="235">
        <v>10.424979362872225</v>
      </c>
      <c r="P23" s="235">
        <v>10.710337508383331</v>
      </c>
      <c r="Q23" s="235">
        <v>11.002489496185648</v>
      </c>
      <c r="R23" s="235">
        <v>11.301347727297218</v>
      </c>
      <c r="S23" s="235">
        <v>11.606679414941709</v>
      </c>
      <c r="T23" s="235">
        <v>11.917640675774759</v>
      </c>
      <c r="U23" s="235">
        <v>12.233858411165617</v>
      </c>
      <c r="V23" s="235">
        <v>12.555137579181029</v>
      </c>
      <c r="W23" s="235">
        <v>12.882147496961569</v>
      </c>
      <c r="X23" s="235">
        <v>13.215319573451808</v>
      </c>
      <c r="Y23" s="235">
        <v>13.554321966989937</v>
      </c>
      <c r="Z23" s="235">
        <v>13.898808914852157</v>
      </c>
      <c r="AA23" s="235">
        <v>14.24872699995754</v>
      </c>
      <c r="AB23" s="235">
        <v>14.604403746540099</v>
      </c>
      <c r="AD23" s="236">
        <v>35</v>
      </c>
      <c r="AE23" s="235">
        <v>5.4263478686730648</v>
      </c>
      <c r="AF23" s="235">
        <v>5.5206916956952945</v>
      </c>
      <c r="AG23" s="235">
        <v>5.6173670964228748</v>
      </c>
      <c r="AH23" s="235">
        <v>5.7193058705980491</v>
      </c>
      <c r="AI23" s="235">
        <v>5.8269721021084724</v>
      </c>
      <c r="AJ23" s="235">
        <v>5.9415169852448066</v>
      </c>
      <c r="AK23" s="235">
        <v>6.063232161320089</v>
      </c>
      <c r="AL23" s="235">
        <v>6.191509721791439</v>
      </c>
      <c r="AM23" s="235">
        <v>6.326371113189837</v>
      </c>
      <c r="AN23" s="235">
        <v>6.4678102218492146</v>
      </c>
      <c r="AO23" s="235">
        <v>6.6167943779301819</v>
      </c>
      <c r="AP23" s="235">
        <v>6.7897055944112061</v>
      </c>
      <c r="AQ23" s="235">
        <v>6.9700340128709115</v>
      </c>
      <c r="AR23" s="235">
        <v>7.1578673110477595</v>
      </c>
      <c r="AS23" s="235">
        <v>7.3531518770135023</v>
      </c>
      <c r="AT23" s="235">
        <v>7.5559410952010007</v>
      </c>
      <c r="AU23" s="235">
        <v>7.7657952782265864</v>
      </c>
      <c r="AV23" s="235">
        <v>7.9822404125656794</v>
      </c>
      <c r="AW23" s="235">
        <v>8.2049412770392518</v>
      </c>
      <c r="AX23" s="235">
        <v>8.4337707980875063</v>
      </c>
      <c r="AY23" s="235">
        <v>8.6693733031530495</v>
      </c>
      <c r="AZ23" s="235">
        <v>8.9125467946641539</v>
      </c>
      <c r="BA23" s="235">
        <v>9.1636913224298375</v>
      </c>
      <c r="BB23" s="235">
        <v>9.423403555571694</v>
      </c>
      <c r="BC23" s="235">
        <v>9.6924579352474218</v>
      </c>
      <c r="BD23" s="235">
        <v>9.972065560453931</v>
      </c>
    </row>
    <row r="24" spans="2:56">
      <c r="B24" s="236">
        <v>36</v>
      </c>
      <c r="C24" s="235">
        <v>8.2622525060996299</v>
      </c>
      <c r="D24" s="235">
        <v>8.4262939925317308</v>
      </c>
      <c r="E24" s="235">
        <v>8.599406727129125</v>
      </c>
      <c r="F24" s="235">
        <v>8.7825763515763988</v>
      </c>
      <c r="G24" s="235">
        <v>8.9766881989366176</v>
      </c>
      <c r="H24" s="235">
        <v>9.181679830473982</v>
      </c>
      <c r="I24" s="235">
        <v>9.3963561570185359</v>
      </c>
      <c r="J24" s="235">
        <v>9.6201513826154983</v>
      </c>
      <c r="K24" s="235">
        <v>9.8527335734733121</v>
      </c>
      <c r="L24" s="235">
        <v>10.095239282045078</v>
      </c>
      <c r="M24" s="235">
        <v>10.378049116043934</v>
      </c>
      <c r="N24" s="235">
        <v>10.668203194087569</v>
      </c>
      <c r="O24" s="235">
        <v>10.965480288290644</v>
      </c>
      <c r="P24" s="235">
        <v>11.269500948670448</v>
      </c>
      <c r="Q24" s="235">
        <v>11.580222346938985</v>
      </c>
      <c r="R24" s="235">
        <v>11.897438239202522</v>
      </c>
      <c r="S24" s="235">
        <v>12.220285360867056</v>
      </c>
      <c r="T24" s="235">
        <v>12.548403434093348</v>
      </c>
      <c r="U24" s="235">
        <v>12.881618720423264</v>
      </c>
      <c r="V24" s="235">
        <v>13.220672801442468</v>
      </c>
      <c r="W24" s="235">
        <v>13.566047051449681</v>
      </c>
      <c r="X24" s="235">
        <v>13.917409377640258</v>
      </c>
      <c r="Y24" s="235">
        <v>14.274412772365823</v>
      </c>
      <c r="Z24" s="235">
        <v>14.637019008170169</v>
      </c>
      <c r="AA24" s="235">
        <v>15.005591007108814</v>
      </c>
      <c r="AB24" s="235">
        <v>15.380224426581618</v>
      </c>
      <c r="AD24" s="236">
        <v>36</v>
      </c>
      <c r="AE24" s="235">
        <v>5.6114077377393716</v>
      </c>
      <c r="AF24" s="235">
        <v>5.7120623292894415</v>
      </c>
      <c r="AG24" s="235">
        <v>5.8181761175738522</v>
      </c>
      <c r="AH24" s="235">
        <v>5.9302484781097817</v>
      </c>
      <c r="AI24" s="235">
        <v>6.0495436981446513</v>
      </c>
      <c r="AJ24" s="235">
        <v>6.1763287403028251</v>
      </c>
      <c r="AK24" s="235">
        <v>6.3098847336218107</v>
      </c>
      <c r="AL24" s="235">
        <v>6.450220464757475</v>
      </c>
      <c r="AM24" s="235">
        <v>6.5973193901951532</v>
      </c>
      <c r="AN24" s="235">
        <v>6.7522296662749559</v>
      </c>
      <c r="AO24" s="235">
        <v>6.9327077982945653</v>
      </c>
      <c r="AP24" s="235">
        <v>7.1206969169914727</v>
      </c>
      <c r="AQ24" s="235">
        <v>7.3163094290919632</v>
      </c>
      <c r="AR24" s="235">
        <v>7.5195017916689224</v>
      </c>
      <c r="AS24" s="235">
        <v>7.7303436441146181</v>
      </c>
      <c r="AT24" s="235">
        <v>7.9483756222969433</v>
      </c>
      <c r="AU24" s="235">
        <v>8.173104975478287</v>
      </c>
      <c r="AV24" s="235">
        <v>8.4041891905228976</v>
      </c>
      <c r="AW24" s="235">
        <v>8.6415075935448069</v>
      </c>
      <c r="AX24" s="235">
        <v>8.8857570222371933</v>
      </c>
      <c r="AY24" s="235">
        <v>9.1377916601358162</v>
      </c>
      <c r="AZ24" s="235">
        <v>9.3980398233739226</v>
      </c>
      <c r="BA24" s="235">
        <v>9.667135396816974</v>
      </c>
      <c r="BB24" s="235">
        <v>9.9458973557564772</v>
      </c>
      <c r="BC24" s="235">
        <v>10.235602334249721</v>
      </c>
      <c r="BD24" s="235">
        <v>10.537375442347047</v>
      </c>
    </row>
    <row r="25" spans="2:56">
      <c r="B25" s="236">
        <v>37</v>
      </c>
      <c r="C25" s="235">
        <v>8.5859897924686841</v>
      </c>
      <c r="D25" s="235">
        <v>8.7670453974087952</v>
      </c>
      <c r="E25" s="235">
        <v>8.9584689011233571</v>
      </c>
      <c r="F25" s="235">
        <v>9.1612476036111161</v>
      </c>
      <c r="G25" s="235">
        <v>9.3752617866142884</v>
      </c>
      <c r="H25" s="235">
        <v>9.5991486690269934</v>
      </c>
      <c r="I25" s="235">
        <v>9.8322992261602682</v>
      </c>
      <c r="J25" s="235">
        <v>10.074375139026767</v>
      </c>
      <c r="K25" s="235">
        <v>10.326650688831103</v>
      </c>
      <c r="L25" s="235">
        <v>10.622282044283731</v>
      </c>
      <c r="M25" s="235">
        <v>10.925039556045329</v>
      </c>
      <c r="N25" s="235">
        <v>11.234776264026534</v>
      </c>
      <c r="O25" s="235">
        <v>11.551157271331274</v>
      </c>
      <c r="P25" s="235">
        <v>11.874199519604103</v>
      </c>
      <c r="Q25" s="235">
        <v>12.203733266967077</v>
      </c>
      <c r="R25" s="235">
        <v>12.538879104693525</v>
      </c>
      <c r="S25" s="235">
        <v>12.879295474172032</v>
      </c>
      <c r="T25" s="235">
        <v>13.224835645780612</v>
      </c>
      <c r="U25" s="235">
        <v>13.576323112976086</v>
      </c>
      <c r="V25" s="235">
        <v>13.934295475397505</v>
      </c>
      <c r="W25" s="235">
        <v>14.298421438896668</v>
      </c>
      <c r="X25" s="235">
        <v>14.668353619340472</v>
      </c>
      <c r="Y25" s="235">
        <v>15.044071128924809</v>
      </c>
      <c r="Z25" s="235">
        <v>15.425975885992706</v>
      </c>
      <c r="AA25" s="235">
        <v>15.814184838852322</v>
      </c>
      <c r="AB25" s="235">
        <v>16.208140650093465</v>
      </c>
      <c r="AD25" s="236">
        <v>37</v>
      </c>
      <c r="AE25" s="235">
        <v>5.8117036402552911</v>
      </c>
      <c r="AF25" s="235">
        <v>5.9221874284844738</v>
      </c>
      <c r="AG25" s="235">
        <v>6.0388767064999378</v>
      </c>
      <c r="AH25" s="235">
        <v>6.1631724848340035</v>
      </c>
      <c r="AI25" s="235">
        <v>6.2952995173968098</v>
      </c>
      <c r="AJ25" s="235">
        <v>6.4344000302077484</v>
      </c>
      <c r="AK25" s="235">
        <v>6.5804704249332753</v>
      </c>
      <c r="AL25" s="235">
        <v>6.7334843236314157</v>
      </c>
      <c r="AM25" s="235">
        <v>6.8945855158262752</v>
      </c>
      <c r="AN25" s="235">
        <v>7.0831051095521627</v>
      </c>
      <c r="AO25" s="235">
        <v>7.2791883420212997</v>
      </c>
      <c r="AP25" s="235">
        <v>7.4829842240141859</v>
      </c>
      <c r="AQ25" s="235">
        <v>7.6944666603907645</v>
      </c>
      <c r="AR25" s="235">
        <v>7.9137280617014847</v>
      </c>
      <c r="AS25" s="235">
        <v>8.1402906606631085</v>
      </c>
      <c r="AT25" s="235">
        <v>8.3736441264001122</v>
      </c>
      <c r="AU25" s="235">
        <v>8.613440753447053</v>
      </c>
      <c r="AV25" s="235">
        <v>8.8595693172548984</v>
      </c>
      <c r="AW25" s="235">
        <v>9.1127860163530023</v>
      </c>
      <c r="AX25" s="235">
        <v>9.3740073970266469</v>
      </c>
      <c r="AY25" s="235">
        <v>9.6436930054215875</v>
      </c>
      <c r="AZ25" s="235">
        <v>9.9225172981186773</v>
      </c>
      <c r="BA25" s="235">
        <v>10.211347373358402</v>
      </c>
      <c r="BB25" s="235">
        <v>10.511530298574913</v>
      </c>
      <c r="BC25" s="235">
        <v>10.824249253077399</v>
      </c>
      <c r="BD25" s="235">
        <v>11.150121790288399</v>
      </c>
    </row>
    <row r="26" spans="2:56">
      <c r="B26" s="236">
        <v>38</v>
      </c>
      <c r="C26" s="235">
        <v>8.947074903706616</v>
      </c>
      <c r="D26" s="235">
        <v>9.1467970575780022</v>
      </c>
      <c r="E26" s="235">
        <v>9.3584068511525746</v>
      </c>
      <c r="F26" s="235">
        <v>9.5816706681234347</v>
      </c>
      <c r="G26" s="235">
        <v>9.8150018085677075</v>
      </c>
      <c r="H26" s="235">
        <v>10.057739383610466</v>
      </c>
      <c r="I26" s="235">
        <v>10.309540040288278</v>
      </c>
      <c r="J26" s="235">
        <v>10.571841396723856</v>
      </c>
      <c r="K26" s="235">
        <v>10.881010448736644</v>
      </c>
      <c r="L26" s="235">
        <v>11.196974918460089</v>
      </c>
      <c r="M26" s="235">
        <v>11.519696631279905</v>
      </c>
      <c r="N26" s="235">
        <v>11.848907419016054</v>
      </c>
      <c r="O26" s="235">
        <v>12.18470295007524</v>
      </c>
      <c r="P26" s="235">
        <v>12.526962186842052</v>
      </c>
      <c r="Q26" s="235">
        <v>12.874793523835576</v>
      </c>
      <c r="R26" s="235">
        <v>13.2278809986423</v>
      </c>
      <c r="S26" s="235">
        <v>13.586111367075103</v>
      </c>
      <c r="T26" s="235">
        <v>13.950400876053376</v>
      </c>
      <c r="U26" s="235">
        <v>14.321350164257721</v>
      </c>
      <c r="V26" s="235">
        <v>14.698629594697509</v>
      </c>
      <c r="W26" s="235">
        <v>15.081892099580859</v>
      </c>
      <c r="X26" s="235">
        <v>15.471136292094359</v>
      </c>
      <c r="Y26" s="235">
        <v>15.866806875157865</v>
      </c>
      <c r="Z26" s="235">
        <v>16.269044121876242</v>
      </c>
      <c r="AA26" s="235">
        <v>16.677274885971762</v>
      </c>
      <c r="AB26" s="235">
        <v>17.090582952746583</v>
      </c>
      <c r="AD26" s="236">
        <v>38</v>
      </c>
      <c r="AE26" s="235">
        <v>6.0327313035108565</v>
      </c>
      <c r="AF26" s="235">
        <v>6.154092213219295</v>
      </c>
      <c r="AG26" s="235">
        <v>6.283543877139417</v>
      </c>
      <c r="AH26" s="235">
        <v>6.4212218192291406</v>
      </c>
      <c r="AI26" s="235">
        <v>6.5660815656959315</v>
      </c>
      <c r="AJ26" s="235">
        <v>6.7181039642065423</v>
      </c>
      <c r="AK26" s="235">
        <v>6.8772512951672686</v>
      </c>
      <c r="AL26" s="235">
        <v>7.0447799497743375</v>
      </c>
      <c r="AM26" s="235">
        <v>7.2418401149359539</v>
      </c>
      <c r="AN26" s="235">
        <v>7.4464631470554083</v>
      </c>
      <c r="AO26" s="235">
        <v>7.6588514068574058</v>
      </c>
      <c r="AP26" s="235">
        <v>7.8790064376787683</v>
      </c>
      <c r="AQ26" s="235">
        <v>8.1070519392556939</v>
      </c>
      <c r="AR26" s="235">
        <v>8.342493697823036</v>
      </c>
      <c r="AS26" s="235">
        <v>8.5848054849887756</v>
      </c>
      <c r="AT26" s="235">
        <v>8.8336370682001224</v>
      </c>
      <c r="AU26" s="235">
        <v>9.0888903186509538</v>
      </c>
      <c r="AV26" s="235">
        <v>9.351388664216433</v>
      </c>
      <c r="AW26" s="235">
        <v>9.6221179567054147</v>
      </c>
      <c r="AX26" s="235">
        <v>9.9015721722476471</v>
      </c>
      <c r="AY26" s="235">
        <v>10.190469947513709</v>
      </c>
      <c r="AZ26" s="235">
        <v>10.489730341918479</v>
      </c>
      <c r="BA26" s="235">
        <v>10.800776126875583</v>
      </c>
      <c r="BB26" s="235">
        <v>11.124852362679738</v>
      </c>
      <c r="BC26" s="235">
        <v>11.462605133343141</v>
      </c>
      <c r="BD26" s="235">
        <v>11.814570232158756</v>
      </c>
    </row>
    <row r="27" spans="2:56">
      <c r="B27" s="236">
        <v>39</v>
      </c>
      <c r="C27" s="235">
        <v>9.3475798022709071</v>
      </c>
      <c r="D27" s="235">
        <v>9.5681451876706216</v>
      </c>
      <c r="E27" s="235">
        <v>9.8008828911487615</v>
      </c>
      <c r="F27" s="235">
        <v>10.043891179584758</v>
      </c>
      <c r="G27" s="235">
        <v>10.296445156108167</v>
      </c>
      <c r="H27" s="235">
        <v>10.558198683311257</v>
      </c>
      <c r="I27" s="235">
        <v>10.830785541800788</v>
      </c>
      <c r="J27" s="235">
        <v>11.1543264968951</v>
      </c>
      <c r="K27" s="235">
        <v>11.484174941843722</v>
      </c>
      <c r="L27" s="235">
        <v>11.820453023382626</v>
      </c>
      <c r="M27" s="235">
        <v>12.162991488964492</v>
      </c>
      <c r="N27" s="235">
        <v>12.511990605956527</v>
      </c>
      <c r="O27" s="235">
        <v>12.86739434443532</v>
      </c>
      <c r="P27" s="235">
        <v>13.228304663856598</v>
      </c>
      <c r="Q27" s="235">
        <v>13.594439983377606</v>
      </c>
      <c r="R27" s="235">
        <v>13.965728495342931</v>
      </c>
      <c r="S27" s="235">
        <v>14.343191888084768</v>
      </c>
      <c r="T27" s="235">
        <v>14.727501623886011</v>
      </c>
      <c r="U27" s="235">
        <v>15.118330604371943</v>
      </c>
      <c r="V27" s="235">
        <v>15.515332777282234</v>
      </c>
      <c r="W27" s="235">
        <v>15.918528613482422</v>
      </c>
      <c r="X27" s="235">
        <v>16.328409763328764</v>
      </c>
      <c r="Y27" s="235">
        <v>16.745141992577253</v>
      </c>
      <c r="Z27" s="235">
        <v>17.168135239718339</v>
      </c>
      <c r="AA27" s="235">
        <v>17.596437801828973</v>
      </c>
      <c r="AB27" s="235">
        <v>18.029758585115705</v>
      </c>
      <c r="AD27" s="236">
        <v>39</v>
      </c>
      <c r="AE27" s="235">
        <v>6.2759517173910044</v>
      </c>
      <c r="AF27" s="235">
        <v>6.41072390740419</v>
      </c>
      <c r="AG27" s="235">
        <v>6.5541906492016881</v>
      </c>
      <c r="AH27" s="235">
        <v>6.7050476906843688</v>
      </c>
      <c r="AI27" s="235">
        <v>6.8632579939037717</v>
      </c>
      <c r="AJ27" s="235">
        <v>7.0287719926902268</v>
      </c>
      <c r="AK27" s="235">
        <v>7.2029813373236342</v>
      </c>
      <c r="AL27" s="235">
        <v>7.4091605670156504</v>
      </c>
      <c r="AM27" s="235">
        <v>7.6228237258864224</v>
      </c>
      <c r="AN27" s="235">
        <v>7.8442521970862336</v>
      </c>
      <c r="AO27" s="235">
        <v>8.0734905897106142</v>
      </c>
      <c r="AP27" s="235">
        <v>8.3107060284881253</v>
      </c>
      <c r="AQ27" s="235">
        <v>8.5553914178942758</v>
      </c>
      <c r="AR27" s="235">
        <v>8.8070075250770881</v>
      </c>
      <c r="AS27" s="235">
        <v>9.0652053708100535</v>
      </c>
      <c r="AT27" s="235">
        <v>9.3299046113154436</v>
      </c>
      <c r="AU27" s="235">
        <v>9.6020052325888674</v>
      </c>
      <c r="AV27" s="235">
        <v>9.8825704112481141</v>
      </c>
      <c r="AW27" s="235">
        <v>10.172132158706376</v>
      </c>
      <c r="AX27" s="235">
        <v>10.471457296260297</v>
      </c>
      <c r="AY27" s="235">
        <v>10.781521052702704</v>
      </c>
      <c r="AZ27" s="235">
        <v>11.103827667907408</v>
      </c>
      <c r="BA27" s="235">
        <v>11.439688165167926</v>
      </c>
      <c r="BB27" s="235">
        <v>11.78977833550262</v>
      </c>
      <c r="BC27" s="235">
        <v>12.154657430860347</v>
      </c>
      <c r="BD27" s="235">
        <v>12.535516493940586</v>
      </c>
    </row>
    <row r="28" spans="2:56">
      <c r="B28" s="236">
        <v>40</v>
      </c>
      <c r="C28" s="235">
        <v>9.7890661617338512</v>
      </c>
      <c r="D28" s="235">
        <v>10.03170310778837</v>
      </c>
      <c r="E28" s="235">
        <v>10.284766976556043</v>
      </c>
      <c r="F28" s="235">
        <v>10.547473037975141</v>
      </c>
      <c r="G28" s="235">
        <v>10.819488491830906</v>
      </c>
      <c r="H28" s="235">
        <v>11.10269363723854</v>
      </c>
      <c r="I28" s="235">
        <v>11.441656743456184</v>
      </c>
      <c r="J28" s="235">
        <v>11.7862061841662</v>
      </c>
      <c r="K28" s="235">
        <v>12.136705485349772</v>
      </c>
      <c r="L28" s="235">
        <v>12.493133436233784</v>
      </c>
      <c r="M28" s="235">
        <v>12.855831945594062</v>
      </c>
      <c r="N28" s="235">
        <v>13.224832883347228</v>
      </c>
      <c r="O28" s="235">
        <v>13.599240713817599</v>
      </c>
      <c r="P28" s="235">
        <v>13.978820014416804</v>
      </c>
      <c r="Q28" s="235">
        <v>14.363550603957389</v>
      </c>
      <c r="R28" s="235">
        <v>14.754574834159422</v>
      </c>
      <c r="S28" s="235">
        <v>15.152644136768071</v>
      </c>
      <c r="T28" s="235">
        <v>15.557435003430118</v>
      </c>
      <c r="U28" s="235">
        <v>15.968603222326404</v>
      </c>
      <c r="V28" s="235">
        <v>16.38619380618065</v>
      </c>
      <c r="W28" s="235">
        <v>16.810750031407231</v>
      </c>
      <c r="X28" s="235">
        <v>17.242465541464465</v>
      </c>
      <c r="Y28" s="235">
        <v>17.680732076559647</v>
      </c>
      <c r="Z28" s="235">
        <v>18.124559839165549</v>
      </c>
      <c r="AA28" s="235">
        <v>18.57365990817846</v>
      </c>
      <c r="AB28" s="235">
        <v>19.028209329061035</v>
      </c>
      <c r="AD28" s="236">
        <v>40</v>
      </c>
      <c r="AE28" s="235">
        <v>6.5442006409417361</v>
      </c>
      <c r="AF28" s="235">
        <v>6.6938289066133034</v>
      </c>
      <c r="AG28" s="235">
        <v>6.8510169066631734</v>
      </c>
      <c r="AH28" s="235">
        <v>7.015721242967393</v>
      </c>
      <c r="AI28" s="235">
        <v>7.187888306585327</v>
      </c>
      <c r="AJ28" s="235">
        <v>7.3690796122039028</v>
      </c>
      <c r="AK28" s="235">
        <v>7.5850841525337618</v>
      </c>
      <c r="AL28" s="235">
        <v>7.808374375194119</v>
      </c>
      <c r="AM28" s="235">
        <v>8.0393518165643609</v>
      </c>
      <c r="AN28" s="235">
        <v>8.2781284262581032</v>
      </c>
      <c r="AO28" s="235">
        <v>8.5249327238890693</v>
      </c>
      <c r="AP28" s="235">
        <v>8.7792510645030539</v>
      </c>
      <c r="AQ28" s="235">
        <v>9.0405361076144608</v>
      </c>
      <c r="AR28" s="235">
        <v>9.3084456190983484</v>
      </c>
      <c r="AS28" s="235">
        <v>9.5829232281563907</v>
      </c>
      <c r="AT28" s="235">
        <v>9.8649567169402523</v>
      </c>
      <c r="AU28" s="235">
        <v>10.155695973581681</v>
      </c>
      <c r="AV28" s="235">
        <v>10.455715171580604</v>
      </c>
      <c r="AW28" s="235">
        <v>10.765833812436108</v>
      </c>
      <c r="AX28" s="235">
        <v>11.087087947781479</v>
      </c>
      <c r="AY28" s="235">
        <v>11.42106962831814</v>
      </c>
      <c r="AZ28" s="235">
        <v>11.769160229979484</v>
      </c>
      <c r="BA28" s="235">
        <v>12.132066376768602</v>
      </c>
      <c r="BB28" s="235">
        <v>12.510371459110956</v>
      </c>
      <c r="BC28" s="235">
        <v>12.905325589332858</v>
      </c>
      <c r="BD28" s="235">
        <v>13.31846129696595</v>
      </c>
    </row>
    <row r="29" spans="2:56">
      <c r="B29" s="236">
        <v>41</v>
      </c>
      <c r="C29" s="235">
        <v>10.270503543564901</v>
      </c>
      <c r="D29" s="235">
        <v>10.534622361074613</v>
      </c>
      <c r="E29" s="235">
        <v>10.80823902726129</v>
      </c>
      <c r="F29" s="235">
        <v>11.091130565561979</v>
      </c>
      <c r="G29" s="235">
        <v>11.385530246032133</v>
      </c>
      <c r="H29" s="235">
        <v>11.741374814888717</v>
      </c>
      <c r="I29" s="235">
        <v>12.101712092716168</v>
      </c>
      <c r="J29" s="235">
        <v>12.467283204932237</v>
      </c>
      <c r="K29" s="235">
        <v>12.83829492400525</v>
      </c>
      <c r="L29" s="235">
        <v>13.215287275141167</v>
      </c>
      <c r="M29" s="235">
        <v>13.598414345872351</v>
      </c>
      <c r="N29" s="235">
        <v>13.986797998398648</v>
      </c>
      <c r="O29" s="235">
        <v>14.380265815414923</v>
      </c>
      <c r="P29" s="235">
        <v>14.778863121519292</v>
      </c>
      <c r="Q29" s="235">
        <v>15.183871896686723</v>
      </c>
      <c r="R29" s="235">
        <v>15.596134782230441</v>
      </c>
      <c r="S29" s="235">
        <v>16.015333447552056</v>
      </c>
      <c r="T29" s="235">
        <v>16.441126764544141</v>
      </c>
      <c r="U29" s="235">
        <v>16.873587577553668</v>
      </c>
      <c r="V29" s="235">
        <v>17.313316248102055</v>
      </c>
      <c r="W29" s="235">
        <v>17.760537075009562</v>
      </c>
      <c r="X29" s="235">
        <v>18.214622228926647</v>
      </c>
      <c r="Y29" s="235">
        <v>18.674540988087145</v>
      </c>
      <c r="Z29" s="235">
        <v>19.140007458773777</v>
      </c>
      <c r="AA29" s="235">
        <v>19.611228084644427</v>
      </c>
      <c r="AB29" s="235">
        <v>0</v>
      </c>
      <c r="AD29" s="236">
        <v>41</v>
      </c>
      <c r="AE29" s="235">
        <v>6.8376731380924127</v>
      </c>
      <c r="AF29" s="235">
        <v>7.0020067728278441</v>
      </c>
      <c r="AG29" s="235">
        <v>7.1738418696722785</v>
      </c>
      <c r="AH29" s="235">
        <v>7.3531879229439259</v>
      </c>
      <c r="AI29" s="235">
        <v>7.5418528342204105</v>
      </c>
      <c r="AJ29" s="235">
        <v>7.7686621134153961</v>
      </c>
      <c r="AK29" s="235">
        <v>8.0023566546643767</v>
      </c>
      <c r="AL29" s="235">
        <v>8.243530315150565</v>
      </c>
      <c r="AM29" s="235">
        <v>8.4924042568011231</v>
      </c>
      <c r="AN29" s="235">
        <v>8.7492975863140021</v>
      </c>
      <c r="AO29" s="235">
        <v>9.0137023423635476</v>
      </c>
      <c r="AP29" s="235">
        <v>9.285072136603798</v>
      </c>
      <c r="AQ29" s="235">
        <v>9.563080265802375</v>
      </c>
      <c r="AR29" s="235">
        <v>9.8477032026725322</v>
      </c>
      <c r="AS29" s="235">
        <v>10.140030694647258</v>
      </c>
      <c r="AT29" s="235">
        <v>10.441310804588793</v>
      </c>
      <c r="AU29" s="235">
        <v>10.752164929021042</v>
      </c>
      <c r="AV29" s="235">
        <v>11.07347056853629</v>
      </c>
      <c r="AW29" s="235">
        <v>11.406329963147215</v>
      </c>
      <c r="AX29" s="235">
        <v>11.752430139716301</v>
      </c>
      <c r="AY29" s="235">
        <v>12.113227686928774</v>
      </c>
      <c r="AZ29" s="235">
        <v>12.489461220244015</v>
      </c>
      <c r="BA29" s="235">
        <v>12.881738938019829</v>
      </c>
      <c r="BB29" s="235">
        <v>13.291373581323112</v>
      </c>
      <c r="BC29" s="235">
        <v>13.719973784479997</v>
      </c>
      <c r="BD29" s="235">
        <v>0</v>
      </c>
    </row>
    <row r="30" spans="2:56">
      <c r="B30" s="236">
        <v>42</v>
      </c>
      <c r="C30" s="235">
        <v>10.800522807733083</v>
      </c>
      <c r="D30" s="235">
        <v>11.085009155594577</v>
      </c>
      <c r="E30" s="235">
        <v>11.378758436585338</v>
      </c>
      <c r="F30" s="235">
        <v>11.684440810423581</v>
      </c>
      <c r="G30" s="235">
        <v>12.058542084337637</v>
      </c>
      <c r="H30" s="235">
        <v>12.435576034081789</v>
      </c>
      <c r="I30" s="235">
        <v>12.816860505351816</v>
      </c>
      <c r="J30" s="235">
        <v>13.202938060393997</v>
      </c>
      <c r="K30" s="235">
        <v>13.594617208781775</v>
      </c>
      <c r="L30" s="235">
        <v>13.992213760589586</v>
      </c>
      <c r="M30" s="235">
        <v>14.394881791127499</v>
      </c>
      <c r="N30" s="235">
        <v>14.802529060725247</v>
      </c>
      <c r="O30" s="235">
        <v>15.215280016199415</v>
      </c>
      <c r="P30" s="235">
        <v>15.63457591423972</v>
      </c>
      <c r="Q30" s="235">
        <v>16.061361183406312</v>
      </c>
      <c r="R30" s="235">
        <v>16.495322281636174</v>
      </c>
      <c r="S30" s="235">
        <v>16.936120769608937</v>
      </c>
      <c r="T30" s="235">
        <v>17.383859570916247</v>
      </c>
      <c r="U30" s="235">
        <v>17.839201043498782</v>
      </c>
      <c r="V30" s="235">
        <v>18.302402143735424</v>
      </c>
      <c r="W30" s="235">
        <v>18.772812956807712</v>
      </c>
      <c r="X30" s="235">
        <v>19.24935786818709</v>
      </c>
      <c r="Y30" s="235">
        <v>19.731754330443749</v>
      </c>
      <c r="Z30" s="235">
        <v>20.220240761031935</v>
      </c>
      <c r="AA30" s="235">
        <v>0</v>
      </c>
      <c r="AB30" s="235">
        <v>0</v>
      </c>
      <c r="AD30" s="236">
        <v>42</v>
      </c>
      <c r="AE30" s="235">
        <v>7.1639354637815824</v>
      </c>
      <c r="AF30" s="235">
        <v>7.3428960421228311</v>
      </c>
      <c r="AG30" s="235">
        <v>7.5294414126567482</v>
      </c>
      <c r="AH30" s="235">
        <v>7.7256799988971698</v>
      </c>
      <c r="AI30" s="235">
        <v>7.9641321532448215</v>
      </c>
      <c r="AJ30" s="235">
        <v>8.2088352339173394</v>
      </c>
      <c r="AK30" s="235">
        <v>8.4606759961171409</v>
      </c>
      <c r="AL30" s="235">
        <v>8.7200380557428812</v>
      </c>
      <c r="AM30" s="235">
        <v>8.9873652512617745</v>
      </c>
      <c r="AN30" s="235">
        <v>9.2621674424397042</v>
      </c>
      <c r="AO30" s="235">
        <v>9.5439075547131935</v>
      </c>
      <c r="AP30" s="235">
        <v>9.8322826319879866</v>
      </c>
      <c r="AQ30" s="235">
        <v>10.127310445470988</v>
      </c>
      <c r="AR30" s="235">
        <v>10.430197455044022</v>
      </c>
      <c r="AS30" s="235">
        <v>10.742301404298283</v>
      </c>
      <c r="AT30" s="235">
        <v>11.064295056162432</v>
      </c>
      <c r="AU30" s="235">
        <v>11.397118535068509</v>
      </c>
      <c r="AV30" s="235">
        <v>11.741945088560755</v>
      </c>
      <c r="AW30" s="235">
        <v>12.100563691737008</v>
      </c>
      <c r="AX30" s="235">
        <v>12.474510575946656</v>
      </c>
      <c r="AY30" s="235">
        <v>12.864556716551101</v>
      </c>
      <c r="AZ30" s="235">
        <v>13.271335079229635</v>
      </c>
      <c r="BA30" s="235">
        <v>13.696224335208463</v>
      </c>
      <c r="BB30" s="235">
        <v>14.140913487170128</v>
      </c>
      <c r="BC30" s="235">
        <v>0</v>
      </c>
      <c r="BD30" s="235">
        <v>0</v>
      </c>
    </row>
    <row r="31" spans="2:56">
      <c r="B31" s="236">
        <v>43</v>
      </c>
      <c r="C31" s="235">
        <v>11.37660864712705</v>
      </c>
      <c r="D31" s="235">
        <v>11.681199298289659</v>
      </c>
      <c r="E31" s="235">
        <v>11.998296944929862</v>
      </c>
      <c r="F31" s="235">
        <v>12.392544709588135</v>
      </c>
      <c r="G31" s="235">
        <v>12.787427107908114</v>
      </c>
      <c r="H31" s="235">
        <v>13.185179142753444</v>
      </c>
      <c r="I31" s="235">
        <v>13.586851985798365</v>
      </c>
      <c r="J31" s="235">
        <v>13.993626997707732</v>
      </c>
      <c r="K31" s="235">
        <v>14.406037640538321</v>
      </c>
      <c r="L31" s="235">
        <v>14.823291462070433</v>
      </c>
      <c r="M31" s="235">
        <v>15.245398792700671</v>
      </c>
      <c r="N31" s="235">
        <v>15.67258007916562</v>
      </c>
      <c r="O31" s="235">
        <v>16.106459108783397</v>
      </c>
      <c r="P31" s="235">
        <v>16.548093982386213</v>
      </c>
      <c r="Q31" s="235">
        <v>16.997174855086957</v>
      </c>
      <c r="R31" s="235">
        <v>17.453365032198278</v>
      </c>
      <c r="S31" s="235">
        <v>17.916799719075492</v>
      </c>
      <c r="T31" s="235">
        <v>18.388208541666256</v>
      </c>
      <c r="U31" s="235">
        <v>18.867883050785569</v>
      </c>
      <c r="V31" s="235">
        <v>19.355148116263482</v>
      </c>
      <c r="W31" s="235">
        <v>19.848878571379494</v>
      </c>
      <c r="X31" s="235">
        <v>20.348795475062257</v>
      </c>
      <c r="Y31" s="235">
        <v>20.85517202564083</v>
      </c>
      <c r="Z31" s="235">
        <v>0</v>
      </c>
      <c r="AA31" s="235">
        <v>0</v>
      </c>
      <c r="AB31" s="235">
        <v>0</v>
      </c>
      <c r="AD31" s="236">
        <v>43</v>
      </c>
      <c r="AE31" s="235">
        <v>7.5217351092209102</v>
      </c>
      <c r="AF31" s="235">
        <v>7.7155862129317505</v>
      </c>
      <c r="AG31" s="235">
        <v>7.9195927980593597</v>
      </c>
      <c r="AH31" s="235">
        <v>8.1708724806218243</v>
      </c>
      <c r="AI31" s="235">
        <v>8.4273788568520995</v>
      </c>
      <c r="AJ31" s="235">
        <v>8.6904691685272422</v>
      </c>
      <c r="AK31" s="235">
        <v>8.9607788229100649</v>
      </c>
      <c r="AL31" s="235">
        <v>9.2389298299656542</v>
      </c>
      <c r="AM31" s="235">
        <v>9.524470285258646</v>
      </c>
      <c r="AN31" s="235">
        <v>9.8168859022961961</v>
      </c>
      <c r="AO31" s="235">
        <v>10.115909415984774</v>
      </c>
      <c r="AP31" s="235">
        <v>10.42161119718325</v>
      </c>
      <c r="AQ31" s="235">
        <v>10.735332473599888</v>
      </c>
      <c r="AR31" s="235">
        <v>11.058554220370564</v>
      </c>
      <c r="AS31" s="235">
        <v>11.392005167588406</v>
      </c>
      <c r="AT31" s="235">
        <v>11.73669313717151</v>
      </c>
      <c r="AU31" s="235">
        <v>12.093867608778874</v>
      </c>
      <c r="AV31" s="235">
        <v>12.465427126531392</v>
      </c>
      <c r="AW31" s="235">
        <v>12.852992215563955</v>
      </c>
      <c r="AX31" s="235">
        <v>13.25736627005622</v>
      </c>
      <c r="AY31" s="235">
        <v>13.679206687559205</v>
      </c>
      <c r="AZ31" s="235">
        <v>14.119961534463048</v>
      </c>
      <c r="BA31" s="235">
        <v>14.581404718792012</v>
      </c>
      <c r="BB31" s="235">
        <v>0</v>
      </c>
      <c r="BC31" s="235">
        <v>0</v>
      </c>
      <c r="BD31" s="235">
        <v>0</v>
      </c>
    </row>
    <row r="32" spans="2:56">
      <c r="B32" s="236">
        <v>44</v>
      </c>
      <c r="C32" s="235">
        <v>11.998001399234814</v>
      </c>
      <c r="D32" s="235">
        <v>12.326618632101946</v>
      </c>
      <c r="E32" s="235">
        <v>12.743634158861646</v>
      </c>
      <c r="F32" s="235">
        <v>13.157786838602453</v>
      </c>
      <c r="G32" s="235">
        <v>13.572836674863867</v>
      </c>
      <c r="H32" s="235">
        <v>13.99062640990971</v>
      </c>
      <c r="I32" s="235">
        <v>14.412866063418418</v>
      </c>
      <c r="J32" s="235">
        <v>14.840384876000625</v>
      </c>
      <c r="K32" s="235">
        <v>15.272472496841907</v>
      </c>
      <c r="L32" s="235">
        <v>15.709269751968073</v>
      </c>
      <c r="M32" s="235">
        <v>16.151112936146532</v>
      </c>
      <c r="N32" s="235">
        <v>16.599835097917342</v>
      </c>
      <c r="O32" s="235">
        <v>17.05662056559763</v>
      </c>
      <c r="P32" s="235">
        <v>17.521160456099668</v>
      </c>
      <c r="Q32" s="235">
        <v>17.993117615737212</v>
      </c>
      <c r="R32" s="235">
        <v>18.472661223630936</v>
      </c>
      <c r="S32" s="235">
        <v>18.960593508623447</v>
      </c>
      <c r="T32" s="235">
        <v>19.457242168764566</v>
      </c>
      <c r="U32" s="235">
        <v>19.96190275650164</v>
      </c>
      <c r="V32" s="235">
        <v>20.473394891957135</v>
      </c>
      <c r="W32" s="235">
        <v>20.991443284378121</v>
      </c>
      <c r="X32" s="235">
        <v>21.516358865875461</v>
      </c>
      <c r="Y32" s="235">
        <v>0</v>
      </c>
      <c r="Z32" s="235">
        <v>0</v>
      </c>
      <c r="AA32" s="235">
        <v>0</v>
      </c>
      <c r="AB32" s="235">
        <v>0</v>
      </c>
      <c r="AD32" s="236">
        <v>44</v>
      </c>
      <c r="AE32" s="235">
        <v>7.9122821674343831</v>
      </c>
      <c r="AF32" s="235">
        <v>8.1241520183691431</v>
      </c>
      <c r="AG32" s="235">
        <v>8.3897968212217755</v>
      </c>
      <c r="AH32" s="235">
        <v>8.6590189669526332</v>
      </c>
      <c r="AI32" s="235">
        <v>8.9339614328057841</v>
      </c>
      <c r="AJ32" s="235">
        <v>9.2156568735898858</v>
      </c>
      <c r="AK32" s="235">
        <v>9.504984839405477</v>
      </c>
      <c r="AL32" s="235">
        <v>9.8015611044600757</v>
      </c>
      <c r="AM32" s="235">
        <v>10.104912303394729</v>
      </c>
      <c r="AN32" s="235">
        <v>10.414821813813132</v>
      </c>
      <c r="AO32" s="235">
        <v>10.731425991202277</v>
      </c>
      <c r="AP32" s="235">
        <v>11.056221739924588</v>
      </c>
      <c r="AQ32" s="235">
        <v>11.390828219147336</v>
      </c>
      <c r="AR32" s="235">
        <v>11.736034332641266</v>
      </c>
      <c r="AS32" s="235">
        <v>12.092920449735605</v>
      </c>
      <c r="AT32" s="235">
        <v>12.462817367232397</v>
      </c>
      <c r="AU32" s="235">
        <v>12.847741075362737</v>
      </c>
      <c r="AV32" s="235">
        <v>13.249400868915611</v>
      </c>
      <c r="AW32" s="235">
        <v>13.668631892329909</v>
      </c>
      <c r="AX32" s="235">
        <v>14.106115000718098</v>
      </c>
      <c r="AY32" s="235">
        <v>14.563371071297226</v>
      </c>
      <c r="AZ32" s="235">
        <v>15.042263567724454</v>
      </c>
      <c r="BA32" s="235">
        <v>0</v>
      </c>
      <c r="BB32" s="235">
        <v>0</v>
      </c>
      <c r="BC32" s="235">
        <v>0</v>
      </c>
      <c r="BD32" s="235">
        <v>0</v>
      </c>
    </row>
    <row r="33" spans="2:56">
      <c r="B33" s="236">
        <v>45</v>
      </c>
      <c r="C33" s="235">
        <v>12.667656760639014</v>
      </c>
      <c r="D33" s="235">
        <v>13.111471216236456</v>
      </c>
      <c r="E33" s="235">
        <v>13.546806375384238</v>
      </c>
      <c r="F33" s="235">
        <v>13.980127983762378</v>
      </c>
      <c r="G33" s="235">
        <v>14.414563263425119</v>
      </c>
      <c r="H33" s="235">
        <v>14.852594547962548</v>
      </c>
      <c r="I33" s="235">
        <v>15.295459715567503</v>
      </c>
      <c r="J33" s="235">
        <v>15.742569930194763</v>
      </c>
      <c r="K33" s="235">
        <v>16.194231773789436</v>
      </c>
      <c r="L33" s="235">
        <v>16.6509207638519</v>
      </c>
      <c r="M33" s="235">
        <v>17.114709963899458</v>
      </c>
      <c r="N33" s="235">
        <v>17.586922864158566</v>
      </c>
      <c r="O33" s="235">
        <v>18.06724639645218</v>
      </c>
      <c r="P33" s="235">
        <v>18.555338974801245</v>
      </c>
      <c r="Q33" s="235">
        <v>19.051404690534255</v>
      </c>
      <c r="R33" s="235">
        <v>19.556323696627967</v>
      </c>
      <c r="S33" s="235">
        <v>20.070460861035457</v>
      </c>
      <c r="T33" s="235">
        <v>20.593077119133181</v>
      </c>
      <c r="U33" s="235">
        <v>21.122930025018611</v>
      </c>
      <c r="V33" s="235">
        <v>21.659747741683695</v>
      </c>
      <c r="W33" s="235">
        <v>22.203882074334398</v>
      </c>
      <c r="X33" s="235">
        <v>0</v>
      </c>
      <c r="Y33" s="235">
        <v>0</v>
      </c>
      <c r="Z33" s="235">
        <v>0</v>
      </c>
      <c r="AA33" s="235">
        <v>0</v>
      </c>
      <c r="AB33" s="235">
        <v>0</v>
      </c>
      <c r="AD33" s="236">
        <v>45</v>
      </c>
      <c r="AE33" s="235">
        <v>8.3381000888662022</v>
      </c>
      <c r="AF33" s="235">
        <v>8.6205057539969747</v>
      </c>
      <c r="AG33" s="235">
        <v>8.903699767870366</v>
      </c>
      <c r="AH33" s="235">
        <v>9.191237318768275</v>
      </c>
      <c r="AI33" s="235">
        <v>9.4848100627198839</v>
      </c>
      <c r="AJ33" s="235">
        <v>9.7856844181879694</v>
      </c>
      <c r="AK33" s="235">
        <v>10.093591454338265</v>
      </c>
      <c r="AL33" s="235">
        <v>10.408126159789255</v>
      </c>
      <c r="AM33" s="235">
        <v>10.729143220474333</v>
      </c>
      <c r="AN33" s="235">
        <v>11.056862115163552</v>
      </c>
      <c r="AO33" s="235">
        <v>11.392960619036467</v>
      </c>
      <c r="AP33" s="235">
        <v>11.739213140843539</v>
      </c>
      <c r="AQ33" s="235">
        <v>12.096472691135663</v>
      </c>
      <c r="AR33" s="235">
        <v>12.465896945281157</v>
      </c>
      <c r="AS33" s="235">
        <v>12.848903085472342</v>
      </c>
      <c r="AT33" s="235">
        <v>13.247632859986378</v>
      </c>
      <c r="AU33" s="235">
        <v>13.663888696473052</v>
      </c>
      <c r="AV33" s="235">
        <v>14.098536044528819</v>
      </c>
      <c r="AW33" s="235">
        <v>14.552277579470065</v>
      </c>
      <c r="AX33" s="235">
        <v>15.026710435922103</v>
      </c>
      <c r="AY33" s="235">
        <v>15.523792491984532</v>
      </c>
      <c r="AZ33" s="235">
        <v>0</v>
      </c>
      <c r="BA33" s="235">
        <v>0</v>
      </c>
      <c r="BB33" s="235">
        <v>0</v>
      </c>
      <c r="BC33" s="235">
        <v>0</v>
      </c>
      <c r="BD33" s="235">
        <v>0</v>
      </c>
    </row>
    <row r="34" spans="2:56">
      <c r="B34" s="236">
        <v>46</v>
      </c>
      <c r="C34" s="235">
        <v>13.496866322531545</v>
      </c>
      <c r="D34" s="235">
        <v>13.955934981205036</v>
      </c>
      <c r="E34" s="235">
        <v>14.408554130480701</v>
      </c>
      <c r="F34" s="235">
        <v>14.8600334290887</v>
      </c>
      <c r="G34" s="235">
        <v>15.314013158794209</v>
      </c>
      <c r="H34" s="235">
        <v>15.772298668328329</v>
      </c>
      <c r="I34" s="235">
        <v>16.234471282080815</v>
      </c>
      <c r="J34" s="235">
        <v>16.701043750820556</v>
      </c>
      <c r="K34" s="235">
        <v>17.172655035718165</v>
      </c>
      <c r="L34" s="235">
        <v>17.651651223722791</v>
      </c>
      <c r="M34" s="235">
        <v>18.1395060141705</v>
      </c>
      <c r="N34" s="235">
        <v>18.635892198277695</v>
      </c>
      <c r="O34" s="235">
        <v>19.140456334073722</v>
      </c>
      <c r="P34" s="235">
        <v>19.65343653070849</v>
      </c>
      <c r="Q34" s="235">
        <v>20.17579547977234</v>
      </c>
      <c r="R34" s="235">
        <v>20.707935056097487</v>
      </c>
      <c r="S34" s="235">
        <v>21.249074424163773</v>
      </c>
      <c r="T34" s="235">
        <v>21.797900492138087</v>
      </c>
      <c r="U34" s="235">
        <v>22.354144166110906</v>
      </c>
      <c r="V34" s="235">
        <v>22.91820129675628</v>
      </c>
      <c r="W34" s="235">
        <v>0</v>
      </c>
      <c r="X34" s="235">
        <v>0</v>
      </c>
      <c r="Y34" s="235">
        <v>0</v>
      </c>
      <c r="Z34" s="235">
        <v>0</v>
      </c>
      <c r="AA34" s="235">
        <v>0</v>
      </c>
      <c r="AB34" s="235">
        <v>0</v>
      </c>
      <c r="AD34" s="236">
        <v>46</v>
      </c>
      <c r="AE34" s="235">
        <v>8.8634694328373378</v>
      </c>
      <c r="AF34" s="235">
        <v>9.1623311618260619</v>
      </c>
      <c r="AG34" s="235">
        <v>9.463299644116633</v>
      </c>
      <c r="AH34" s="235">
        <v>9.769215559831645</v>
      </c>
      <c r="AI34" s="235">
        <v>10.081944209050478</v>
      </c>
      <c r="AJ34" s="235">
        <v>10.401404668158984</v>
      </c>
      <c r="AK34" s="235">
        <v>10.727298191612462</v>
      </c>
      <c r="AL34" s="235">
        <v>11.059576744742863</v>
      </c>
      <c r="AM34" s="235">
        <v>11.398562936698669</v>
      </c>
      <c r="AN34" s="235">
        <v>11.746144414456932</v>
      </c>
      <c r="AO34" s="235">
        <v>12.104269086404473</v>
      </c>
      <c r="AP34" s="235">
        <v>12.473856437512</v>
      </c>
      <c r="AQ34" s="235">
        <v>12.856145172599897</v>
      </c>
      <c r="AR34" s="235">
        <v>13.252643194719246</v>
      </c>
      <c r="AS34" s="235">
        <v>13.665626289119922</v>
      </c>
      <c r="AT34" s="235">
        <v>14.096993785161077</v>
      </c>
      <c r="AU34" s="235">
        <v>14.547638701388552</v>
      </c>
      <c r="AV34" s="235">
        <v>15.018282834419525</v>
      </c>
      <c r="AW34" s="235">
        <v>15.510602848188466</v>
      </c>
      <c r="AX34" s="235">
        <v>16.026655964101838</v>
      </c>
      <c r="AY34" s="235">
        <v>0</v>
      </c>
      <c r="AZ34" s="235">
        <v>0</v>
      </c>
      <c r="BA34" s="235">
        <v>0</v>
      </c>
      <c r="BB34" s="235">
        <v>0</v>
      </c>
      <c r="BC34" s="235">
        <v>0</v>
      </c>
      <c r="BD34" s="235">
        <v>0</v>
      </c>
    </row>
    <row r="35" spans="2:56">
      <c r="B35" s="236">
        <v>47</v>
      </c>
      <c r="C35" s="235">
        <v>14.39102303502311</v>
      </c>
      <c r="D35" s="235">
        <v>14.86335922898623</v>
      </c>
      <c r="E35" s="235">
        <v>15.331577395753218</v>
      </c>
      <c r="F35" s="235">
        <v>15.801042622165726</v>
      </c>
      <c r="G35" s="235">
        <v>16.274311688415107</v>
      </c>
      <c r="H35" s="235">
        <v>16.751166760441144</v>
      </c>
      <c r="I35" s="235">
        <v>17.232353534987467</v>
      </c>
      <c r="J35" s="235">
        <v>17.718685524799561</v>
      </c>
      <c r="K35" s="235">
        <v>18.212807878681829</v>
      </c>
      <c r="L35" s="235">
        <v>18.716345895644952</v>
      </c>
      <c r="M35" s="235">
        <v>19.228936986390558</v>
      </c>
      <c r="N35" s="235">
        <v>19.750200462689381</v>
      </c>
      <c r="O35" s="235">
        <v>20.280402653626179</v>
      </c>
      <c r="P35" s="235">
        <v>20.820590563297472</v>
      </c>
      <c r="Q35" s="235">
        <v>21.371199942572066</v>
      </c>
      <c r="R35" s="235">
        <v>21.931397619739343</v>
      </c>
      <c r="S35" s="235">
        <v>22.499788313945519</v>
      </c>
      <c r="T35" s="235">
        <v>23.076103661858184</v>
      </c>
      <c r="U35" s="235">
        <v>23.660786213470107</v>
      </c>
      <c r="V35" s="235">
        <v>0</v>
      </c>
      <c r="W35" s="235">
        <v>0</v>
      </c>
      <c r="X35" s="235">
        <v>0</v>
      </c>
      <c r="Y35" s="235">
        <v>0</v>
      </c>
      <c r="Z35" s="235">
        <v>0</v>
      </c>
      <c r="AA35" s="235">
        <v>0</v>
      </c>
      <c r="AB35" s="235">
        <v>0</v>
      </c>
      <c r="AD35" s="236">
        <v>47</v>
      </c>
      <c r="AE35" s="235">
        <v>9.4390306154399983</v>
      </c>
      <c r="AF35" s="235">
        <v>9.7539166967762263</v>
      </c>
      <c r="AG35" s="235">
        <v>10.07223289877563</v>
      </c>
      <c r="AH35" s="235">
        <v>10.396757325544192</v>
      </c>
      <c r="AI35" s="235">
        <v>10.727679959637696</v>
      </c>
      <c r="AJ35" s="235">
        <v>11.064841922153166</v>
      </c>
      <c r="AK35" s="235">
        <v>11.408312441941337</v>
      </c>
      <c r="AL35" s="235">
        <v>11.758531794284863</v>
      </c>
      <c r="AM35" s="235">
        <v>12.117624823789971</v>
      </c>
      <c r="AN35" s="235">
        <v>12.487727710862961</v>
      </c>
      <c r="AO35" s="235">
        <v>12.869823066684276</v>
      </c>
      <c r="AP35" s="235">
        <v>13.265230335273623</v>
      </c>
      <c r="AQ35" s="235">
        <v>13.675549539226617</v>
      </c>
      <c r="AR35" s="235">
        <v>14.103197191508389</v>
      </c>
      <c r="AS35" s="235">
        <v>14.550171355096218</v>
      </c>
      <c r="AT35" s="235">
        <v>15.017387379634645</v>
      </c>
      <c r="AU35" s="235">
        <v>15.505581488785088</v>
      </c>
      <c r="AV35" s="235">
        <v>16.016512373968066</v>
      </c>
      <c r="AW35" s="235">
        <v>16.552341150990308</v>
      </c>
      <c r="AX35" s="235">
        <v>0</v>
      </c>
      <c r="AY35" s="235">
        <v>0</v>
      </c>
      <c r="AZ35" s="235">
        <v>0</v>
      </c>
      <c r="BA35" s="235">
        <v>0</v>
      </c>
      <c r="BB35" s="235">
        <v>0</v>
      </c>
      <c r="BC35" s="235">
        <v>0</v>
      </c>
      <c r="BD35" s="235">
        <v>0</v>
      </c>
    </row>
    <row r="36" spans="2:56">
      <c r="B36" s="236">
        <v>48</v>
      </c>
      <c r="C36" s="235">
        <v>15.353125816663002</v>
      </c>
      <c r="D36" s="235">
        <v>15.8360295244475</v>
      </c>
      <c r="E36" s="235">
        <v>16.31919875180963</v>
      </c>
      <c r="F36" s="235">
        <v>16.806033703236206</v>
      </c>
      <c r="G36" s="235">
        <v>17.296445897679035</v>
      </c>
      <c r="H36" s="235">
        <v>17.7913783304631</v>
      </c>
      <c r="I36" s="235">
        <v>18.291786203837223</v>
      </c>
      <c r="J36" s="235">
        <v>18.80061428111123</v>
      </c>
      <c r="K36" s="235">
        <v>19.319617549298059</v>
      </c>
      <c r="L36" s="235">
        <v>19.848355299327221</v>
      </c>
      <c r="M36" s="235">
        <v>20.386389634849468</v>
      </c>
      <c r="N36" s="235">
        <v>20.934000218554285</v>
      </c>
      <c r="O36" s="235">
        <v>21.492314590302673</v>
      </c>
      <c r="P36" s="235">
        <v>22.061794144422482</v>
      </c>
      <c r="Q36" s="235">
        <v>22.641537619267282</v>
      </c>
      <c r="R36" s="235">
        <v>23.230051707562588</v>
      </c>
      <c r="S36" s="235">
        <v>23.827064706201444</v>
      </c>
      <c r="T36" s="235">
        <v>24.433067528821308</v>
      </c>
      <c r="U36" s="235">
        <v>0</v>
      </c>
      <c r="V36" s="235">
        <v>0</v>
      </c>
      <c r="W36" s="235">
        <v>0</v>
      </c>
      <c r="X36" s="235">
        <v>0</v>
      </c>
      <c r="Y36" s="235">
        <v>0</v>
      </c>
      <c r="Z36" s="235">
        <v>0</v>
      </c>
      <c r="AA36" s="235">
        <v>0</v>
      </c>
      <c r="AB36" s="235">
        <v>0</v>
      </c>
      <c r="AD36" s="236">
        <v>48</v>
      </c>
      <c r="AE36" s="235">
        <v>10.0682667712511</v>
      </c>
      <c r="AF36" s="235">
        <v>10.398098725358356</v>
      </c>
      <c r="AG36" s="235">
        <v>10.7336370364047</v>
      </c>
      <c r="AH36" s="235">
        <v>11.075374783992075</v>
      </c>
      <c r="AI36" s="235">
        <v>11.423281974996629</v>
      </c>
      <c r="AJ36" s="235">
        <v>11.777534267313936</v>
      </c>
      <c r="AK36" s="235">
        <v>12.138683052799241</v>
      </c>
      <c r="AL36" s="235">
        <v>12.509106884565435</v>
      </c>
      <c r="AM36" s="235">
        <v>12.891134628065041</v>
      </c>
      <c r="AN36" s="235">
        <v>13.285797400639916</v>
      </c>
      <c r="AO36" s="235">
        <v>13.694487461616914</v>
      </c>
      <c r="AP36" s="235">
        <v>14.118892970370114</v>
      </c>
      <c r="AQ36" s="235">
        <v>14.561574720464472</v>
      </c>
      <c r="AR36" s="235">
        <v>15.024628121786112</v>
      </c>
      <c r="AS36" s="235">
        <v>15.508981985839954</v>
      </c>
      <c r="AT36" s="235">
        <v>16.015379472638266</v>
      </c>
      <c r="AU36" s="235">
        <v>16.54566261317051</v>
      </c>
      <c r="AV36" s="235">
        <v>17.102100328833075</v>
      </c>
      <c r="AW36" s="235">
        <v>0</v>
      </c>
      <c r="AX36" s="235">
        <v>0</v>
      </c>
      <c r="AY36" s="235">
        <v>0</v>
      </c>
      <c r="AZ36" s="235">
        <v>0</v>
      </c>
      <c r="BA36" s="235">
        <v>0</v>
      </c>
      <c r="BB36" s="235">
        <v>0</v>
      </c>
      <c r="BC36" s="235">
        <v>0</v>
      </c>
      <c r="BD36" s="235">
        <v>0</v>
      </c>
    </row>
    <row r="37" spans="2:56">
      <c r="B37" s="236">
        <v>49</v>
      </c>
      <c r="C37" s="235">
        <v>16.385349879579049</v>
      </c>
      <c r="D37" s="235">
        <v>16.877377449052837</v>
      </c>
      <c r="E37" s="235">
        <v>17.374325269021501</v>
      </c>
      <c r="F37" s="235">
        <v>17.875750315329807</v>
      </c>
      <c r="G37" s="235">
        <v>18.382540112727867</v>
      </c>
      <c r="H37" s="235">
        <v>18.895629279571587</v>
      </c>
      <c r="I37" s="235">
        <v>19.418189618407006</v>
      </c>
      <c r="J37" s="235">
        <v>19.952029554470801</v>
      </c>
      <c r="K37" s="235">
        <v>20.496545084094301</v>
      </c>
      <c r="L37" s="235">
        <v>21.051183595288574</v>
      </c>
      <c r="M37" s="235">
        <v>21.616206060815411</v>
      </c>
      <c r="N37" s="235">
        <v>22.192806082405141</v>
      </c>
      <c r="O37" s="235">
        <v>22.781453536194235</v>
      </c>
      <c r="P37" s="235">
        <v>23.381155133795676</v>
      </c>
      <c r="Q37" s="235">
        <v>23.99029723476567</v>
      </c>
      <c r="R37" s="235">
        <v>24.608597381060289</v>
      </c>
      <c r="S37" s="235">
        <v>25.236594692145552</v>
      </c>
      <c r="T37" s="235">
        <v>0</v>
      </c>
      <c r="U37" s="235">
        <v>0</v>
      </c>
      <c r="V37" s="235">
        <v>0</v>
      </c>
      <c r="W37" s="235">
        <v>0</v>
      </c>
      <c r="X37" s="235">
        <v>0</v>
      </c>
      <c r="Y37" s="235">
        <v>0</v>
      </c>
      <c r="Z37" s="235">
        <v>0</v>
      </c>
      <c r="AA37" s="235">
        <v>0</v>
      </c>
      <c r="AB37" s="235">
        <v>0</v>
      </c>
      <c r="AD37" s="236">
        <v>49</v>
      </c>
      <c r="AE37" s="235">
        <v>10.754458778194545</v>
      </c>
      <c r="AF37" s="235">
        <v>11.098452710671397</v>
      </c>
      <c r="AG37" s="235">
        <v>11.449146199259976</v>
      </c>
      <c r="AH37" s="235">
        <v>11.806411608017427</v>
      </c>
      <c r="AI37" s="235">
        <v>12.170400505103872</v>
      </c>
      <c r="AJ37" s="235">
        <v>12.541698337621085</v>
      </c>
      <c r="AK37" s="235">
        <v>12.922915349507875</v>
      </c>
      <c r="AL37" s="235">
        <v>13.316548822527679</v>
      </c>
      <c r="AM37" s="235">
        <v>13.72363952239033</v>
      </c>
      <c r="AN37" s="235">
        <v>14.145628745475479</v>
      </c>
      <c r="AO37" s="235">
        <v>14.584277997704387</v>
      </c>
      <c r="AP37" s="235">
        <v>15.042289263222896</v>
      </c>
      <c r="AQ37" s="235">
        <v>15.521847996566038</v>
      </c>
      <c r="AR37" s="235">
        <v>16.023881783162231</v>
      </c>
      <c r="AS37" s="235">
        <v>16.549128883530727</v>
      </c>
      <c r="AT37" s="235">
        <v>17.099513881733177</v>
      </c>
      <c r="AU37" s="235">
        <v>17.677416145969516</v>
      </c>
      <c r="AV37" s="235">
        <v>0</v>
      </c>
      <c r="AW37" s="235">
        <v>0</v>
      </c>
      <c r="AX37" s="235">
        <v>0</v>
      </c>
      <c r="AY37" s="235">
        <v>0</v>
      </c>
      <c r="AZ37" s="235">
        <v>0</v>
      </c>
      <c r="BA37" s="235">
        <v>0</v>
      </c>
      <c r="BB37" s="235">
        <v>0</v>
      </c>
      <c r="BC37" s="235">
        <v>0</v>
      </c>
      <c r="BD37" s="235">
        <v>0</v>
      </c>
    </row>
    <row r="38" spans="2:56">
      <c r="B38" s="236">
        <v>50</v>
      </c>
      <c r="C38" s="235">
        <v>17.485949471018806</v>
      </c>
      <c r="D38" s="235">
        <v>17.985817126830462</v>
      </c>
      <c r="E38" s="235">
        <v>18.493423963935239</v>
      </c>
      <c r="F38" s="235">
        <v>19.008709761864313</v>
      </c>
      <c r="G38" s="235">
        <v>19.532101180965149</v>
      </c>
      <c r="H38" s="235">
        <v>20.066756467353979</v>
      </c>
      <c r="I38" s="235">
        <v>20.614353331748525</v>
      </c>
      <c r="J38" s="235">
        <v>21.173965113030729</v>
      </c>
      <c r="K38" s="235">
        <v>21.744822031955181</v>
      </c>
      <c r="L38" s="235">
        <v>22.327107761762285</v>
      </c>
      <c r="M38" s="235">
        <v>22.922051588732852</v>
      </c>
      <c r="N38" s="235">
        <v>23.530102317986522</v>
      </c>
      <c r="O38" s="235">
        <v>24.150140043512621</v>
      </c>
      <c r="P38" s="235">
        <v>24.780400477123454</v>
      </c>
      <c r="Q38" s="235">
        <v>25.420579097649714</v>
      </c>
      <c r="R38" s="235">
        <v>26.071261122855443</v>
      </c>
      <c r="S38" s="235">
        <v>0</v>
      </c>
      <c r="T38" s="235">
        <v>0</v>
      </c>
      <c r="U38" s="235">
        <v>0</v>
      </c>
      <c r="V38" s="235">
        <v>0</v>
      </c>
      <c r="W38" s="235">
        <v>0</v>
      </c>
      <c r="X38" s="235">
        <v>0</v>
      </c>
      <c r="Y38" s="235">
        <v>0</v>
      </c>
      <c r="Z38" s="235">
        <v>0</v>
      </c>
      <c r="AA38" s="235">
        <v>0</v>
      </c>
      <c r="AB38" s="235">
        <v>0</v>
      </c>
      <c r="AD38" s="236">
        <v>50</v>
      </c>
      <c r="AE38" s="235">
        <v>11.497593034940371</v>
      </c>
      <c r="AF38" s="235">
        <v>11.85321079447343</v>
      </c>
      <c r="AG38" s="235">
        <v>12.21709590913474</v>
      </c>
      <c r="AH38" s="235">
        <v>12.58888876403093</v>
      </c>
      <c r="AI38" s="235">
        <v>12.968951533681441</v>
      </c>
      <c r="AJ38" s="235">
        <v>13.360012551801642</v>
      </c>
      <c r="AK38" s="235">
        <v>13.764654380613475</v>
      </c>
      <c r="AL38" s="235">
        <v>14.183845691252584</v>
      </c>
      <c r="AM38" s="235">
        <v>14.619026853339243</v>
      </c>
      <c r="AN38" s="235">
        <v>15.072001183811761</v>
      </c>
      <c r="AO38" s="235">
        <v>15.545598881893671</v>
      </c>
      <c r="AP38" s="235">
        <v>16.042079977787697</v>
      </c>
      <c r="AQ38" s="235">
        <v>16.562348625078798</v>
      </c>
      <c r="AR38" s="235">
        <v>17.107121010805912</v>
      </c>
      <c r="AS38" s="235">
        <v>17.678401079561414</v>
      </c>
      <c r="AT38" s="235">
        <v>18.278679939837975</v>
      </c>
      <c r="AU38" s="235">
        <v>0</v>
      </c>
      <c r="AV38" s="235">
        <v>0</v>
      </c>
      <c r="AW38" s="235">
        <v>0</v>
      </c>
      <c r="AX38" s="235">
        <v>0</v>
      </c>
      <c r="AY38" s="235">
        <v>0</v>
      </c>
      <c r="AZ38" s="235">
        <v>0</v>
      </c>
      <c r="BA38" s="235">
        <v>0</v>
      </c>
      <c r="BB38" s="235">
        <v>0</v>
      </c>
      <c r="BC38" s="235">
        <v>0</v>
      </c>
      <c r="BD38" s="235">
        <v>0</v>
      </c>
    </row>
    <row r="39" spans="2:56">
      <c r="B39" s="236">
        <v>51</v>
      </c>
      <c r="C39" s="235">
        <v>18.5234543430618</v>
      </c>
      <c r="D39" s="235">
        <v>19.047088953987465</v>
      </c>
      <c r="E39" s="235">
        <v>19.57857382838673</v>
      </c>
      <c r="F39" s="235">
        <v>20.118511434829188</v>
      </c>
      <c r="G39" s="235">
        <v>20.670538856049365</v>
      </c>
      <c r="H39" s="235">
        <v>21.236475538366328</v>
      </c>
      <c r="I39" s="235">
        <v>21.81521001382588</v>
      </c>
      <c r="J39" s="235">
        <v>22.405865330149656</v>
      </c>
      <c r="K39" s="235">
        <v>23.008646526657756</v>
      </c>
      <c r="L39" s="235">
        <v>23.624906634907457</v>
      </c>
      <c r="M39" s="235">
        <v>24.255130829119068</v>
      </c>
      <c r="N39" s="235">
        <v>24.898102284731976</v>
      </c>
      <c r="O39" s="235">
        <v>25.551925730812755</v>
      </c>
      <c r="P39" s="235">
        <v>26.216305451055241</v>
      </c>
      <c r="Q39" s="235">
        <v>26.891905480120286</v>
      </c>
      <c r="R39" s="235">
        <v>0</v>
      </c>
      <c r="S39" s="235">
        <v>0</v>
      </c>
      <c r="T39" s="235">
        <v>0</v>
      </c>
      <c r="U39" s="235">
        <v>0</v>
      </c>
      <c r="V39" s="235">
        <v>0</v>
      </c>
      <c r="W39" s="235">
        <v>0</v>
      </c>
      <c r="X39" s="235">
        <v>0</v>
      </c>
      <c r="Y39" s="235">
        <v>0</v>
      </c>
      <c r="Z39" s="235">
        <v>0</v>
      </c>
      <c r="AA39" s="235">
        <v>0</v>
      </c>
      <c r="AB39" s="235">
        <v>0</v>
      </c>
      <c r="AD39" s="236">
        <v>51</v>
      </c>
      <c r="AE39" s="235">
        <v>12.223602744772798</v>
      </c>
      <c r="AF39" s="235">
        <v>12.599444697979775</v>
      </c>
      <c r="AG39" s="235">
        <v>12.983202509402062</v>
      </c>
      <c r="AH39" s="235">
        <v>13.3754042351952</v>
      </c>
      <c r="AI39" s="235">
        <v>13.779189821658965</v>
      </c>
      <c r="AJ39" s="235">
        <v>14.197397349846639</v>
      </c>
      <c r="AK39" s="235">
        <v>14.631003208815509</v>
      </c>
      <c r="AL39" s="235">
        <v>15.081512528105398</v>
      </c>
      <c r="AM39" s="235">
        <v>15.55082320767967</v>
      </c>
      <c r="AN39" s="235">
        <v>16.041944889088363</v>
      </c>
      <c r="AO39" s="235">
        <v>16.557243264177028</v>
      </c>
      <c r="AP39" s="235">
        <v>17.097610482867555</v>
      </c>
      <c r="AQ39" s="235">
        <v>17.663750111304552</v>
      </c>
      <c r="AR39" s="235">
        <v>18.257765350177852</v>
      </c>
      <c r="AS39" s="235">
        <v>18.882279298129557</v>
      </c>
      <c r="AT39" s="235">
        <v>0</v>
      </c>
      <c r="AU39" s="235">
        <v>0</v>
      </c>
      <c r="AV39" s="235">
        <v>0</v>
      </c>
      <c r="AW39" s="235">
        <v>0</v>
      </c>
      <c r="AX39" s="235">
        <v>0</v>
      </c>
      <c r="AY39" s="235">
        <v>0</v>
      </c>
      <c r="AZ39" s="235">
        <v>0</v>
      </c>
      <c r="BA39" s="235">
        <v>0</v>
      </c>
      <c r="BB39" s="235">
        <v>0</v>
      </c>
      <c r="BC39" s="235">
        <v>0</v>
      </c>
      <c r="BD39" s="235">
        <v>0</v>
      </c>
    </row>
    <row r="40" spans="2:56">
      <c r="B40" s="236">
        <v>52</v>
      </c>
      <c r="C40" s="235">
        <v>19.614225736537829</v>
      </c>
      <c r="D40" s="235">
        <v>20.162256489357254</v>
      </c>
      <c r="E40" s="235">
        <v>20.719138123306806</v>
      </c>
      <c r="F40" s="235">
        <v>21.289098303663842</v>
      </c>
      <c r="G40" s="235">
        <v>21.874086111013437</v>
      </c>
      <c r="H40" s="235">
        <v>22.472732200249453</v>
      </c>
      <c r="I40" s="235">
        <v>23.08402064330884</v>
      </c>
      <c r="J40" s="235">
        <v>23.708179177546572</v>
      </c>
      <c r="K40" s="235">
        <v>24.3467029015268</v>
      </c>
      <c r="L40" s="235">
        <v>25.000114561883194</v>
      </c>
      <c r="M40" s="235">
        <v>25.667083427333935</v>
      </c>
      <c r="N40" s="235">
        <v>26.345566016787089</v>
      </c>
      <c r="O40" s="235">
        <v>27.035280062099169</v>
      </c>
      <c r="P40" s="235">
        <v>27.736981118847972</v>
      </c>
      <c r="Q40" s="235">
        <v>0</v>
      </c>
      <c r="R40" s="235">
        <v>0</v>
      </c>
      <c r="S40" s="235">
        <v>0</v>
      </c>
      <c r="T40" s="235">
        <v>0</v>
      </c>
      <c r="U40" s="235">
        <v>0</v>
      </c>
      <c r="V40" s="235">
        <v>0</v>
      </c>
      <c r="W40" s="235">
        <v>0</v>
      </c>
      <c r="X40" s="235">
        <v>0</v>
      </c>
      <c r="Y40" s="235">
        <v>0</v>
      </c>
      <c r="Z40" s="235">
        <v>0</v>
      </c>
      <c r="AA40" s="235">
        <v>0</v>
      </c>
      <c r="AB40" s="235">
        <v>0</v>
      </c>
      <c r="AD40" s="236">
        <v>52</v>
      </c>
      <c r="AE40" s="235">
        <v>12.995040066149571</v>
      </c>
      <c r="AF40" s="235">
        <v>13.390833109973222</v>
      </c>
      <c r="AG40" s="235">
        <v>13.795300761184112</v>
      </c>
      <c r="AH40" s="235">
        <v>14.212082173492737</v>
      </c>
      <c r="AI40" s="235">
        <v>14.644285781692881</v>
      </c>
      <c r="AJ40" s="235">
        <v>15.092855237305212</v>
      </c>
      <c r="AK40" s="235">
        <v>15.559345784913765</v>
      </c>
      <c r="AL40" s="235">
        <v>16.045745973491485</v>
      </c>
      <c r="AM40" s="235">
        <v>16.555256591713515</v>
      </c>
      <c r="AN40" s="235">
        <v>17.090347646284595</v>
      </c>
      <c r="AO40" s="235">
        <v>17.65188309905761</v>
      </c>
      <c r="AP40" s="235">
        <v>18.240542338799791</v>
      </c>
      <c r="AQ40" s="235">
        <v>18.858533579779863</v>
      </c>
      <c r="AR40" s="235">
        <v>19.508621340576248</v>
      </c>
      <c r="AS40" s="235">
        <v>0</v>
      </c>
      <c r="AT40" s="235">
        <v>0</v>
      </c>
      <c r="AU40" s="235">
        <v>0</v>
      </c>
      <c r="AV40" s="235">
        <v>0</v>
      </c>
      <c r="AW40" s="235">
        <v>0</v>
      </c>
      <c r="AX40" s="235">
        <v>0</v>
      </c>
      <c r="AY40" s="235">
        <v>0</v>
      </c>
      <c r="AZ40" s="235">
        <v>0</v>
      </c>
      <c r="BA40" s="235">
        <v>0</v>
      </c>
      <c r="BB40" s="235">
        <v>0</v>
      </c>
      <c r="BC40" s="235">
        <v>0</v>
      </c>
      <c r="BD40" s="235">
        <v>0</v>
      </c>
    </row>
    <row r="41" spans="2:56">
      <c r="B41" s="236">
        <v>53</v>
      </c>
      <c r="C41" s="235">
        <v>20.759393458798414</v>
      </c>
      <c r="D41" s="235">
        <v>21.333612615355236</v>
      </c>
      <c r="E41" s="235">
        <v>21.922127959401212</v>
      </c>
      <c r="F41" s="235">
        <v>22.526977149217114</v>
      </c>
      <c r="G41" s="235">
        <v>23.146423496271783</v>
      </c>
      <c r="H41" s="235">
        <v>23.779270892966167</v>
      </c>
      <c r="I41" s="235">
        <v>24.425774238650401</v>
      </c>
      <c r="J41" s="235">
        <v>25.08759546521512</v>
      </c>
      <c r="K41" s="235">
        <v>25.765296675545599</v>
      </c>
      <c r="L41" s="235">
        <v>26.457412804264472</v>
      </c>
      <c r="M41" s="235">
        <v>27.161732389280917</v>
      </c>
      <c r="N41" s="235">
        <v>27.877993548199331</v>
      </c>
      <c r="O41" s="235">
        <v>28.607059342769812</v>
      </c>
      <c r="P41" s="235">
        <v>0</v>
      </c>
      <c r="Q41" s="235">
        <v>0</v>
      </c>
      <c r="R41" s="235">
        <v>0</v>
      </c>
      <c r="S41" s="235">
        <v>0</v>
      </c>
      <c r="T41" s="235">
        <v>0</v>
      </c>
      <c r="U41" s="235">
        <v>0</v>
      </c>
      <c r="V41" s="235">
        <v>0</v>
      </c>
      <c r="W41" s="235">
        <v>0</v>
      </c>
      <c r="X41" s="235">
        <v>0</v>
      </c>
      <c r="Y41" s="235">
        <v>0</v>
      </c>
      <c r="Z41" s="235">
        <v>0</v>
      </c>
      <c r="AA41" s="235">
        <v>0</v>
      </c>
      <c r="AB41" s="235">
        <v>0</v>
      </c>
      <c r="AD41" s="236">
        <v>53</v>
      </c>
      <c r="AE41" s="235">
        <v>13.811163475570785</v>
      </c>
      <c r="AF41" s="235">
        <v>14.228007756576389</v>
      </c>
      <c r="AG41" s="235">
        <v>14.658103627580674</v>
      </c>
      <c r="AH41" s="235">
        <v>15.10482659464634</v>
      </c>
      <c r="AI41" s="235">
        <v>15.569018641095809</v>
      </c>
      <c r="AJ41" s="235">
        <v>16.052261177929779</v>
      </c>
      <c r="AK41" s="235">
        <v>16.556626516616596</v>
      </c>
      <c r="AL41" s="235">
        <v>17.085520311456854</v>
      </c>
      <c r="AM41" s="235">
        <v>17.641513976754286</v>
      </c>
      <c r="AN41" s="235">
        <v>18.225422860196449</v>
      </c>
      <c r="AO41" s="235">
        <v>18.837888486710632</v>
      </c>
      <c r="AP41" s="235">
        <v>19.481231579221948</v>
      </c>
      <c r="AQ41" s="235">
        <v>20.158369574144469</v>
      </c>
      <c r="AR41" s="235">
        <v>0</v>
      </c>
      <c r="AS41" s="235">
        <v>0</v>
      </c>
      <c r="AT41" s="235">
        <v>0</v>
      </c>
      <c r="AU41" s="235">
        <v>0</v>
      </c>
      <c r="AV41" s="235">
        <v>0</v>
      </c>
      <c r="AW41" s="235">
        <v>0</v>
      </c>
      <c r="AX41" s="235">
        <v>0</v>
      </c>
      <c r="AY41" s="235">
        <v>0</v>
      </c>
      <c r="AZ41" s="235">
        <v>0</v>
      </c>
      <c r="BA41" s="235">
        <v>0</v>
      </c>
      <c r="BB41" s="235">
        <v>0</v>
      </c>
      <c r="BC41" s="235">
        <v>0</v>
      </c>
      <c r="BD41" s="235">
        <v>0</v>
      </c>
    </row>
    <row r="42" spans="2:56">
      <c r="B42" s="236">
        <v>54</v>
      </c>
      <c r="C42" s="235">
        <v>21.962223439252796</v>
      </c>
      <c r="D42" s="235">
        <v>22.56991555147048</v>
      </c>
      <c r="E42" s="235">
        <v>23.195511711167754</v>
      </c>
      <c r="F42" s="235">
        <v>23.836729227740662</v>
      </c>
      <c r="G42" s="235">
        <v>24.492134991402761</v>
      </c>
      <c r="H42" s="235">
        <v>25.162019948122026</v>
      </c>
      <c r="I42" s="235">
        <v>25.848246106295033</v>
      </c>
      <c r="J42" s="235">
        <v>26.551416695899004</v>
      </c>
      <c r="K42" s="235">
        <v>27.269906807749976</v>
      </c>
      <c r="L42" s="235">
        <v>28.001313771273466</v>
      </c>
      <c r="M42" s="235">
        <v>28.745405950451609</v>
      </c>
      <c r="N42" s="235">
        <v>29.503173907651465</v>
      </c>
      <c r="O42" s="235">
        <v>0</v>
      </c>
      <c r="P42" s="235">
        <v>0</v>
      </c>
      <c r="Q42" s="235">
        <v>0</v>
      </c>
      <c r="R42" s="235">
        <v>0</v>
      </c>
      <c r="S42" s="235">
        <v>0</v>
      </c>
      <c r="T42" s="235">
        <v>0</v>
      </c>
      <c r="U42" s="235">
        <v>0</v>
      </c>
      <c r="V42" s="235">
        <v>0</v>
      </c>
      <c r="W42" s="235">
        <v>0</v>
      </c>
      <c r="X42" s="235">
        <v>0</v>
      </c>
      <c r="Y42" s="235">
        <v>0</v>
      </c>
      <c r="Z42" s="235">
        <v>0</v>
      </c>
      <c r="AA42" s="235">
        <v>0</v>
      </c>
      <c r="AB42" s="235">
        <v>0</v>
      </c>
      <c r="AD42" s="236">
        <v>54</v>
      </c>
      <c r="AE42" s="235">
        <v>14.672929927191733</v>
      </c>
      <c r="AF42" s="235">
        <v>15.116732350418289</v>
      </c>
      <c r="AG42" s="235">
        <v>15.578635341758872</v>
      </c>
      <c r="AH42" s="235">
        <v>16.059260676025563</v>
      </c>
      <c r="AI42" s="235">
        <v>16.560179460894034</v>
      </c>
      <c r="AJ42" s="235">
        <v>17.083538544737479</v>
      </c>
      <c r="AK42" s="235">
        <v>17.632966380653436</v>
      </c>
      <c r="AL42" s="235">
        <v>18.211131604304686</v>
      </c>
      <c r="AM42" s="235">
        <v>18.818775657340986</v>
      </c>
      <c r="AN42" s="235">
        <v>19.456486547950604</v>
      </c>
      <c r="AO42" s="235">
        <v>20.126707899065735</v>
      </c>
      <c r="AP42" s="235">
        <v>20.832524591254362</v>
      </c>
      <c r="AQ42" s="235">
        <v>0</v>
      </c>
      <c r="AR42" s="235">
        <v>0</v>
      </c>
      <c r="AS42" s="235">
        <v>0</v>
      </c>
      <c r="AT42" s="235">
        <v>0</v>
      </c>
      <c r="AU42" s="235">
        <v>0</v>
      </c>
      <c r="AV42" s="235">
        <v>0</v>
      </c>
      <c r="AW42" s="235">
        <v>0</v>
      </c>
      <c r="AX42" s="235">
        <v>0</v>
      </c>
      <c r="AY42" s="235">
        <v>0</v>
      </c>
      <c r="AZ42" s="235">
        <v>0</v>
      </c>
      <c r="BA42" s="235">
        <v>0</v>
      </c>
      <c r="BB42" s="235">
        <v>0</v>
      </c>
      <c r="BC42" s="235">
        <v>0</v>
      </c>
      <c r="BD42" s="235">
        <v>0</v>
      </c>
    </row>
    <row r="43" spans="2:56">
      <c r="B43" s="236">
        <v>55</v>
      </c>
      <c r="C43" s="235">
        <v>23.231147310706842</v>
      </c>
      <c r="D43" s="235">
        <v>23.878722630921676</v>
      </c>
      <c r="E43" s="235">
        <v>24.542960771719077</v>
      </c>
      <c r="F43" s="235">
        <v>25.222139470041302</v>
      </c>
      <c r="G43" s="235">
        <v>25.916619209029736</v>
      </c>
      <c r="H43" s="235">
        <v>26.628517534087116</v>
      </c>
      <c r="I43" s="235">
        <v>27.358486222308514</v>
      </c>
      <c r="J43" s="235">
        <v>28.104712019775288</v>
      </c>
      <c r="K43" s="235">
        <v>28.864576317486033</v>
      </c>
      <c r="L43" s="235">
        <v>29.637893738314332</v>
      </c>
      <c r="M43" s="235">
        <v>30.425809016531318</v>
      </c>
      <c r="N43" s="235">
        <v>0</v>
      </c>
      <c r="O43" s="235">
        <v>0</v>
      </c>
      <c r="P43" s="235">
        <v>0</v>
      </c>
      <c r="Q43" s="235">
        <v>0</v>
      </c>
      <c r="R43" s="235">
        <v>0</v>
      </c>
      <c r="S43" s="235">
        <v>0</v>
      </c>
      <c r="T43" s="235">
        <v>0</v>
      </c>
      <c r="U43" s="235">
        <v>0</v>
      </c>
      <c r="V43" s="235">
        <v>0</v>
      </c>
      <c r="W43" s="235">
        <v>0</v>
      </c>
      <c r="X43" s="235">
        <v>0</v>
      </c>
      <c r="Y43" s="235">
        <v>0</v>
      </c>
      <c r="Z43" s="235">
        <v>0</v>
      </c>
      <c r="AA43" s="235">
        <v>0</v>
      </c>
      <c r="AB43" s="235">
        <v>0</v>
      </c>
      <c r="AD43" s="236">
        <v>55</v>
      </c>
      <c r="AE43" s="235">
        <v>15.586252748844128</v>
      </c>
      <c r="AF43" s="235">
        <v>16.064404573381626</v>
      </c>
      <c r="AG43" s="235">
        <v>16.562626602036129</v>
      </c>
      <c r="AH43" s="235">
        <v>17.082450536831868</v>
      </c>
      <c r="AI43" s="235">
        <v>17.626101775213712</v>
      </c>
      <c r="AJ43" s="235">
        <v>18.197465688344412</v>
      </c>
      <c r="AK43" s="235">
        <v>18.79930829369215</v>
      </c>
      <c r="AL43" s="235">
        <v>19.432269530662655</v>
      </c>
      <c r="AM43" s="235">
        <v>20.096868943215433</v>
      </c>
      <c r="AN43" s="235">
        <v>20.795689647259913</v>
      </c>
      <c r="AO43" s="235">
        <v>21.53200399008065</v>
      </c>
      <c r="AP43" s="235">
        <v>0</v>
      </c>
      <c r="AQ43" s="235">
        <v>0</v>
      </c>
      <c r="AR43" s="235">
        <v>0</v>
      </c>
      <c r="AS43" s="235">
        <v>0</v>
      </c>
      <c r="AT43" s="235">
        <v>0</v>
      </c>
      <c r="AU43" s="235">
        <v>0</v>
      </c>
      <c r="AV43" s="235">
        <v>0</v>
      </c>
      <c r="AW43" s="235">
        <v>0</v>
      </c>
      <c r="AX43" s="235">
        <v>0</v>
      </c>
      <c r="AY43" s="235">
        <v>0</v>
      </c>
      <c r="AZ43" s="235">
        <v>0</v>
      </c>
      <c r="BA43" s="235">
        <v>0</v>
      </c>
      <c r="BB43" s="235">
        <v>0</v>
      </c>
      <c r="BC43" s="235">
        <v>0</v>
      </c>
      <c r="BD43" s="235">
        <v>0</v>
      </c>
    </row>
    <row r="44" spans="2:56">
      <c r="B44" s="236">
        <v>56</v>
      </c>
      <c r="C44" s="235">
        <v>24.575648606691018</v>
      </c>
      <c r="D44" s="235">
        <v>25.264616742609345</v>
      </c>
      <c r="E44" s="235">
        <v>25.969090844286789</v>
      </c>
      <c r="F44" s="235">
        <v>26.68960457147401</v>
      </c>
      <c r="G44" s="235">
        <v>27.428632931462804</v>
      </c>
      <c r="H44" s="235">
        <v>28.186897248978116</v>
      </c>
      <c r="I44" s="235">
        <v>28.962366349247009</v>
      </c>
      <c r="J44" s="235">
        <v>29.752181232515099</v>
      </c>
      <c r="K44" s="235">
        <v>30.556228540705021</v>
      </c>
      <c r="L44" s="235">
        <v>31.37584325748006</v>
      </c>
      <c r="M44" s="235">
        <v>0</v>
      </c>
      <c r="N44" s="235">
        <v>0</v>
      </c>
      <c r="O44" s="235">
        <v>0</v>
      </c>
      <c r="P44" s="235">
        <v>0</v>
      </c>
      <c r="Q44" s="235">
        <v>0</v>
      </c>
      <c r="R44" s="235">
        <v>0</v>
      </c>
      <c r="S44" s="235">
        <v>0</v>
      </c>
      <c r="T44" s="235">
        <v>0</v>
      </c>
      <c r="U44" s="235">
        <v>0</v>
      </c>
      <c r="V44" s="235">
        <v>0</v>
      </c>
      <c r="W44" s="235">
        <v>0</v>
      </c>
      <c r="X44" s="235">
        <v>0</v>
      </c>
      <c r="Y44" s="235">
        <v>0</v>
      </c>
      <c r="Z44" s="235">
        <v>0</v>
      </c>
      <c r="AA44" s="235">
        <v>0</v>
      </c>
      <c r="AB44" s="235">
        <v>0</v>
      </c>
      <c r="AD44" s="236">
        <v>56</v>
      </c>
      <c r="AE44" s="235">
        <v>16.562765987333236</v>
      </c>
      <c r="AF44" s="235">
        <v>17.080048530706648</v>
      </c>
      <c r="AG44" s="235">
        <v>17.620246763897704</v>
      </c>
      <c r="AH44" s="235">
        <v>18.185693072148037</v>
      </c>
      <c r="AI44" s="235">
        <v>18.780587585357722</v>
      </c>
      <c r="AJ44" s="235">
        <v>19.40779800939525</v>
      </c>
      <c r="AK44" s="235">
        <v>20.067830348797639</v>
      </c>
      <c r="AL44" s="235">
        <v>20.761120765032661</v>
      </c>
      <c r="AM44" s="235">
        <v>21.490415894003387</v>
      </c>
      <c r="AN44" s="235">
        <v>22.259201761581856</v>
      </c>
      <c r="AO44" s="235">
        <v>0</v>
      </c>
      <c r="AP44" s="235">
        <v>0</v>
      </c>
      <c r="AQ44" s="235">
        <v>0</v>
      </c>
      <c r="AR44" s="235">
        <v>0</v>
      </c>
      <c r="AS44" s="235">
        <v>0</v>
      </c>
      <c r="AT44" s="235">
        <v>0</v>
      </c>
      <c r="AU44" s="235">
        <v>0</v>
      </c>
      <c r="AV44" s="235">
        <v>0</v>
      </c>
      <c r="AW44" s="235">
        <v>0</v>
      </c>
      <c r="AX44" s="235">
        <v>0</v>
      </c>
      <c r="AY44" s="235">
        <v>0</v>
      </c>
      <c r="AZ44" s="235">
        <v>0</v>
      </c>
      <c r="BA44" s="235">
        <v>0</v>
      </c>
      <c r="BB44" s="235">
        <v>0</v>
      </c>
      <c r="BC44" s="235">
        <v>0</v>
      </c>
      <c r="BD44" s="235">
        <v>0</v>
      </c>
    </row>
    <row r="45" spans="2:56">
      <c r="B45" s="236">
        <v>57</v>
      </c>
      <c r="C45" s="235">
        <v>26.005187259508823</v>
      </c>
      <c r="D45" s="235">
        <v>26.736379457278275</v>
      </c>
      <c r="E45" s="235">
        <v>27.484254776959713</v>
      </c>
      <c r="F45" s="235">
        <v>28.251791075192028</v>
      </c>
      <c r="G45" s="235">
        <v>29.039797542402468</v>
      </c>
      <c r="H45" s="235">
        <v>29.845978827954248</v>
      </c>
      <c r="I45" s="235">
        <v>30.667201928915475</v>
      </c>
      <c r="J45" s="235">
        <v>31.503457884485925</v>
      </c>
      <c r="K45" s="235">
        <v>32.356315153904475</v>
      </c>
      <c r="L45" s="235">
        <v>0</v>
      </c>
      <c r="M45" s="235">
        <v>0</v>
      </c>
      <c r="N45" s="235">
        <v>0</v>
      </c>
      <c r="O45" s="235">
        <v>0</v>
      </c>
      <c r="P45" s="235">
        <v>0</v>
      </c>
      <c r="Q45" s="235">
        <v>0</v>
      </c>
      <c r="R45" s="235">
        <v>0</v>
      </c>
      <c r="S45" s="235">
        <v>0</v>
      </c>
      <c r="T45" s="235">
        <v>0</v>
      </c>
      <c r="U45" s="235">
        <v>0</v>
      </c>
      <c r="V45" s="235">
        <v>0</v>
      </c>
      <c r="W45" s="235">
        <v>0</v>
      </c>
      <c r="X45" s="235">
        <v>0</v>
      </c>
      <c r="Y45" s="235">
        <v>0</v>
      </c>
      <c r="Z45" s="235">
        <v>0</v>
      </c>
      <c r="AA45" s="235">
        <v>0</v>
      </c>
      <c r="AB45" s="235">
        <v>0</v>
      </c>
      <c r="AD45" s="236">
        <v>57</v>
      </c>
      <c r="AE45" s="235">
        <v>17.613703140844162</v>
      </c>
      <c r="AF45" s="235">
        <v>18.175929767975067</v>
      </c>
      <c r="AG45" s="235">
        <v>18.764817924124685</v>
      </c>
      <c r="AH45" s="235">
        <v>19.384977920846612</v>
      </c>
      <c r="AI45" s="235">
        <v>20.039386618038254</v>
      </c>
      <c r="AJ45" s="235">
        <v>20.728374643686809</v>
      </c>
      <c r="AK45" s="235">
        <v>21.452279007643106</v>
      </c>
      <c r="AL45" s="235">
        <v>22.214043218178666</v>
      </c>
      <c r="AM45" s="235">
        <v>23.01740032198785</v>
      </c>
      <c r="AN45" s="235">
        <v>0</v>
      </c>
      <c r="AO45" s="235">
        <v>0</v>
      </c>
      <c r="AP45" s="235">
        <v>0</v>
      </c>
      <c r="AQ45" s="235">
        <v>0</v>
      </c>
      <c r="AR45" s="235">
        <v>0</v>
      </c>
      <c r="AS45" s="235">
        <v>0</v>
      </c>
      <c r="AT45" s="235">
        <v>0</v>
      </c>
      <c r="AU45" s="235">
        <v>0</v>
      </c>
      <c r="AV45" s="235">
        <v>0</v>
      </c>
      <c r="AW45" s="235">
        <v>0</v>
      </c>
      <c r="AX45" s="235">
        <v>0</v>
      </c>
      <c r="AY45" s="235">
        <v>0</v>
      </c>
      <c r="AZ45" s="235">
        <v>0</v>
      </c>
      <c r="BA45" s="235">
        <v>0</v>
      </c>
      <c r="BB45" s="235">
        <v>0</v>
      </c>
      <c r="BC45" s="235">
        <v>0</v>
      </c>
      <c r="BD45" s="235">
        <v>0</v>
      </c>
    </row>
    <row r="46" spans="2:56">
      <c r="B46" s="236">
        <v>58</v>
      </c>
      <c r="C46" s="235">
        <v>27.527149629599926</v>
      </c>
      <c r="D46" s="235">
        <v>28.303497123327187</v>
      </c>
      <c r="E46" s="235">
        <v>29.10077975628317</v>
      </c>
      <c r="F46" s="235">
        <v>29.919891646002203</v>
      </c>
      <c r="G46" s="235">
        <v>30.75819379735805</v>
      </c>
      <c r="H46" s="235">
        <v>31.61222952243094</v>
      </c>
      <c r="I46" s="235">
        <v>32.482134613764217</v>
      </c>
      <c r="J46" s="235">
        <v>33.369762483678265</v>
      </c>
      <c r="K46" s="235">
        <v>0</v>
      </c>
      <c r="L46" s="235">
        <v>0</v>
      </c>
      <c r="M46" s="235">
        <v>0</v>
      </c>
      <c r="N46" s="235">
        <v>0</v>
      </c>
      <c r="O46" s="235">
        <v>0</v>
      </c>
      <c r="P46" s="235">
        <v>0</v>
      </c>
      <c r="Q46" s="235">
        <v>0</v>
      </c>
      <c r="R46" s="235">
        <v>0</v>
      </c>
      <c r="S46" s="235">
        <v>0</v>
      </c>
      <c r="T46" s="235">
        <v>0</v>
      </c>
      <c r="U46" s="235">
        <v>0</v>
      </c>
      <c r="V46" s="235">
        <v>0</v>
      </c>
      <c r="W46" s="235">
        <v>0</v>
      </c>
      <c r="X46" s="235">
        <v>0</v>
      </c>
      <c r="Y46" s="235">
        <v>0</v>
      </c>
      <c r="Z46" s="235">
        <v>0</v>
      </c>
      <c r="AA46" s="235">
        <v>0</v>
      </c>
      <c r="AB46" s="235">
        <v>0</v>
      </c>
      <c r="AD46" s="236">
        <v>58</v>
      </c>
      <c r="AE46" s="235">
        <v>18.753085382065613</v>
      </c>
      <c r="AF46" s="235">
        <v>19.367076315242134</v>
      </c>
      <c r="AG46" s="235">
        <v>20.014281660049559</v>
      </c>
      <c r="AH46" s="235">
        <v>20.697786780940664</v>
      </c>
      <c r="AI46" s="235">
        <v>21.417684816808752</v>
      </c>
      <c r="AJ46" s="235">
        <v>22.174193279076192</v>
      </c>
      <c r="AK46" s="235">
        <v>22.970496569984089</v>
      </c>
      <c r="AL46" s="235">
        <v>23.810615412285333</v>
      </c>
      <c r="AM46" s="235">
        <v>0</v>
      </c>
      <c r="AN46" s="235">
        <v>0</v>
      </c>
      <c r="AO46" s="235">
        <v>0</v>
      </c>
      <c r="AP46" s="235">
        <v>0</v>
      </c>
      <c r="AQ46" s="235">
        <v>0</v>
      </c>
      <c r="AR46" s="235">
        <v>0</v>
      </c>
      <c r="AS46" s="235">
        <v>0</v>
      </c>
      <c r="AT46" s="235">
        <v>0</v>
      </c>
      <c r="AU46" s="235">
        <v>0</v>
      </c>
      <c r="AV46" s="235">
        <v>0</v>
      </c>
      <c r="AW46" s="235">
        <v>0</v>
      </c>
      <c r="AX46" s="235">
        <v>0</v>
      </c>
      <c r="AY46" s="235">
        <v>0</v>
      </c>
      <c r="AZ46" s="235">
        <v>0</v>
      </c>
      <c r="BA46" s="235">
        <v>0</v>
      </c>
      <c r="BB46" s="235">
        <v>0</v>
      </c>
      <c r="BC46" s="235">
        <v>0</v>
      </c>
      <c r="BD46" s="235">
        <v>0</v>
      </c>
    </row>
    <row r="47" spans="2:56">
      <c r="B47" s="236">
        <v>59</v>
      </c>
      <c r="C47" s="235">
        <v>29.151286398504585</v>
      </c>
      <c r="D47" s="235">
        <v>29.979110056344748</v>
      </c>
      <c r="E47" s="235">
        <v>30.830420854236188</v>
      </c>
      <c r="F47" s="235">
        <v>31.702062748265227</v>
      </c>
      <c r="G47" s="235">
        <v>32.590163505551629</v>
      </c>
      <c r="H47" s="235">
        <v>33.495045981135682</v>
      </c>
      <c r="I47" s="235">
        <v>34.418904557755766</v>
      </c>
      <c r="J47" s="235">
        <v>0</v>
      </c>
      <c r="K47" s="235">
        <v>0</v>
      </c>
      <c r="L47" s="235">
        <v>0</v>
      </c>
      <c r="M47" s="235">
        <v>0</v>
      </c>
      <c r="N47" s="235">
        <v>0</v>
      </c>
      <c r="O47" s="235">
        <v>0</v>
      </c>
      <c r="P47" s="235">
        <v>0</v>
      </c>
      <c r="Q47" s="235">
        <v>0</v>
      </c>
      <c r="R47" s="235">
        <v>0</v>
      </c>
      <c r="S47" s="235">
        <v>0</v>
      </c>
      <c r="T47" s="235">
        <v>0</v>
      </c>
      <c r="U47" s="235">
        <v>0</v>
      </c>
      <c r="V47" s="235">
        <v>0</v>
      </c>
      <c r="W47" s="235">
        <v>0</v>
      </c>
      <c r="X47" s="235">
        <v>0</v>
      </c>
      <c r="Y47" s="235">
        <v>0</v>
      </c>
      <c r="Z47" s="235">
        <v>0</v>
      </c>
      <c r="AA47" s="235">
        <v>0</v>
      </c>
      <c r="AB47" s="235">
        <v>0</v>
      </c>
      <c r="AD47" s="236">
        <v>59</v>
      </c>
      <c r="AE47" s="235">
        <v>19.997535715997067</v>
      </c>
      <c r="AF47" s="235">
        <v>20.673367015248651</v>
      </c>
      <c r="AG47" s="235">
        <v>21.387772298336756</v>
      </c>
      <c r="AH47" s="235">
        <v>22.140483336480415</v>
      </c>
      <c r="AI47" s="235">
        <v>22.931557548631403</v>
      </c>
      <c r="AJ47" s="235">
        <v>23.764471639201592</v>
      </c>
      <c r="AK47" s="235">
        <v>24.643578688511102</v>
      </c>
      <c r="AL47" s="235">
        <v>0</v>
      </c>
      <c r="AM47" s="235">
        <v>0</v>
      </c>
      <c r="AN47" s="235">
        <v>0</v>
      </c>
      <c r="AO47" s="235">
        <v>0</v>
      </c>
      <c r="AP47" s="235">
        <v>0</v>
      </c>
      <c r="AQ47" s="235">
        <v>0</v>
      </c>
      <c r="AR47" s="235">
        <v>0</v>
      </c>
      <c r="AS47" s="235">
        <v>0</v>
      </c>
      <c r="AT47" s="235">
        <v>0</v>
      </c>
      <c r="AU47" s="235">
        <v>0</v>
      </c>
      <c r="AV47" s="235">
        <v>0</v>
      </c>
      <c r="AW47" s="235">
        <v>0</v>
      </c>
      <c r="AX47" s="235">
        <v>0</v>
      </c>
      <c r="AY47" s="235">
        <v>0</v>
      </c>
      <c r="AZ47" s="235">
        <v>0</v>
      </c>
      <c r="BA47" s="235">
        <v>0</v>
      </c>
      <c r="BB47" s="235">
        <v>0</v>
      </c>
      <c r="BC47" s="235">
        <v>0</v>
      </c>
      <c r="BD47" s="235">
        <v>0</v>
      </c>
    </row>
    <row r="48" spans="2:56">
      <c r="B48" s="236">
        <v>60</v>
      </c>
      <c r="C48" s="235">
        <v>30.884580039252143</v>
      </c>
      <c r="D48" s="235">
        <v>31.769486344066884</v>
      </c>
      <c r="E48" s="235">
        <v>32.675945626831805</v>
      </c>
      <c r="F48" s="235">
        <v>33.599561442438144</v>
      </c>
      <c r="G48" s="235">
        <v>34.540921710531734</v>
      </c>
      <c r="H48" s="235">
        <v>35.502643639332426</v>
      </c>
      <c r="I48" s="235">
        <v>0</v>
      </c>
      <c r="J48" s="235">
        <v>0</v>
      </c>
      <c r="K48" s="235">
        <v>0</v>
      </c>
      <c r="L48" s="235">
        <v>0</v>
      </c>
      <c r="M48" s="235">
        <v>0</v>
      </c>
      <c r="N48" s="235">
        <v>0</v>
      </c>
      <c r="O48" s="235">
        <v>0</v>
      </c>
      <c r="P48" s="235">
        <v>0</v>
      </c>
      <c r="Q48" s="235">
        <v>0</v>
      </c>
      <c r="R48" s="235">
        <v>0</v>
      </c>
      <c r="S48" s="235">
        <v>0</v>
      </c>
      <c r="T48" s="235">
        <v>0</v>
      </c>
      <c r="U48" s="235">
        <v>0</v>
      </c>
      <c r="V48" s="235">
        <v>0</v>
      </c>
      <c r="W48" s="235">
        <v>0</v>
      </c>
      <c r="X48" s="235">
        <v>0</v>
      </c>
      <c r="Y48" s="235">
        <v>0</v>
      </c>
      <c r="Z48" s="235">
        <v>0</v>
      </c>
      <c r="AA48" s="235">
        <v>0</v>
      </c>
      <c r="AB48" s="235">
        <v>0</v>
      </c>
      <c r="AD48" s="236">
        <v>60</v>
      </c>
      <c r="AE48" s="235">
        <v>21.364115173503453</v>
      </c>
      <c r="AF48" s="235">
        <v>22.111436166301946</v>
      </c>
      <c r="AG48" s="235">
        <v>22.899051909390291</v>
      </c>
      <c r="AH48" s="235">
        <v>23.726813489988352</v>
      </c>
      <c r="AI48" s="235">
        <v>24.598569123168957</v>
      </c>
      <c r="AJ48" s="235">
        <v>25.519063873620542</v>
      </c>
      <c r="AK48" s="235">
        <v>0</v>
      </c>
      <c r="AL48" s="235">
        <v>0</v>
      </c>
      <c r="AM48" s="235">
        <v>0</v>
      </c>
      <c r="AN48" s="235">
        <v>0</v>
      </c>
      <c r="AO48" s="235">
        <v>0</v>
      </c>
      <c r="AP48" s="235">
        <v>0</v>
      </c>
      <c r="AQ48" s="235">
        <v>0</v>
      </c>
      <c r="AR48" s="235">
        <v>0</v>
      </c>
      <c r="AS48" s="235">
        <v>0</v>
      </c>
      <c r="AT48" s="235">
        <v>0</v>
      </c>
      <c r="AU48" s="235">
        <v>0</v>
      </c>
      <c r="AV48" s="235">
        <v>0</v>
      </c>
      <c r="AW48" s="235">
        <v>0</v>
      </c>
      <c r="AX48" s="235">
        <v>0</v>
      </c>
      <c r="AY48" s="235">
        <v>0</v>
      </c>
      <c r="AZ48" s="235">
        <v>0</v>
      </c>
      <c r="BA48" s="235">
        <v>0</v>
      </c>
      <c r="BB48" s="235">
        <v>0</v>
      </c>
      <c r="BC48" s="235">
        <v>0</v>
      </c>
      <c r="BD48" s="235">
        <v>0</v>
      </c>
    </row>
    <row r="49" spans="2:56">
      <c r="B49" s="236">
        <v>61</v>
      </c>
      <c r="C49" s="235">
        <v>32.734097068681251</v>
      </c>
      <c r="D49" s="235">
        <v>33.677430863111489</v>
      </c>
      <c r="E49" s="235">
        <v>34.638401246171405</v>
      </c>
      <c r="F49" s="235">
        <v>35.618041043221965</v>
      </c>
      <c r="G49" s="235">
        <v>36.619530369948315</v>
      </c>
      <c r="H49" s="235">
        <v>0</v>
      </c>
      <c r="I49" s="235">
        <v>0</v>
      </c>
      <c r="J49" s="235">
        <v>0</v>
      </c>
      <c r="K49" s="235">
        <v>0</v>
      </c>
      <c r="L49" s="235">
        <v>0</v>
      </c>
      <c r="M49" s="235">
        <v>0</v>
      </c>
      <c r="N49" s="235">
        <v>0</v>
      </c>
      <c r="O49" s="235">
        <v>0</v>
      </c>
      <c r="P49" s="235">
        <v>0</v>
      </c>
      <c r="Q49" s="235">
        <v>0</v>
      </c>
      <c r="R49" s="235">
        <v>0</v>
      </c>
      <c r="S49" s="235">
        <v>0</v>
      </c>
      <c r="T49" s="235">
        <v>0</v>
      </c>
      <c r="U49" s="235">
        <v>0</v>
      </c>
      <c r="V49" s="235">
        <v>0</v>
      </c>
      <c r="W49" s="235">
        <v>0</v>
      </c>
      <c r="X49" s="235">
        <v>0</v>
      </c>
      <c r="Y49" s="235">
        <v>0</v>
      </c>
      <c r="Z49" s="235">
        <v>0</v>
      </c>
      <c r="AA49" s="235">
        <v>0</v>
      </c>
      <c r="AB49" s="235">
        <v>0</v>
      </c>
      <c r="AD49" s="236">
        <v>61</v>
      </c>
      <c r="AE49" s="235">
        <v>22.869714632025193</v>
      </c>
      <c r="AF49" s="235">
        <v>23.694766861642762</v>
      </c>
      <c r="AG49" s="235">
        <v>24.561658514519525</v>
      </c>
      <c r="AH49" s="235">
        <v>25.474764068160205</v>
      </c>
      <c r="AI49" s="235">
        <v>26.439315978757541</v>
      </c>
      <c r="AJ49" s="235">
        <v>0</v>
      </c>
      <c r="AK49" s="235">
        <v>0</v>
      </c>
      <c r="AL49" s="235">
        <v>0</v>
      </c>
      <c r="AM49" s="235">
        <v>0</v>
      </c>
      <c r="AN49" s="235">
        <v>0</v>
      </c>
      <c r="AO49" s="235">
        <v>0</v>
      </c>
      <c r="AP49" s="235">
        <v>0</v>
      </c>
      <c r="AQ49" s="235">
        <v>0</v>
      </c>
      <c r="AR49" s="235">
        <v>0</v>
      </c>
      <c r="AS49" s="235">
        <v>0</v>
      </c>
      <c r="AT49" s="235">
        <v>0</v>
      </c>
      <c r="AU49" s="235">
        <v>0</v>
      </c>
      <c r="AV49" s="235">
        <v>0</v>
      </c>
      <c r="AW49" s="235">
        <v>0</v>
      </c>
      <c r="AX49" s="235">
        <v>0</v>
      </c>
      <c r="AY49" s="235">
        <v>0</v>
      </c>
      <c r="AZ49" s="235">
        <v>0</v>
      </c>
      <c r="BA49" s="235">
        <v>0</v>
      </c>
      <c r="BB49" s="235">
        <v>0</v>
      </c>
      <c r="BC49" s="235">
        <v>0</v>
      </c>
      <c r="BD49" s="235">
        <v>0</v>
      </c>
    </row>
    <row r="50" spans="2:56">
      <c r="B50" s="236">
        <v>62</v>
      </c>
      <c r="C50" s="235">
        <v>34.70862860692656</v>
      </c>
      <c r="D50" s="235">
        <v>35.708769432229595</v>
      </c>
      <c r="E50" s="235">
        <v>36.72844697233873</v>
      </c>
      <c r="F50" s="235">
        <v>37.771606154441059</v>
      </c>
      <c r="G50" s="235">
        <v>0</v>
      </c>
      <c r="H50" s="235">
        <v>0</v>
      </c>
      <c r="I50" s="235">
        <v>0</v>
      </c>
      <c r="J50" s="235">
        <v>0</v>
      </c>
      <c r="K50" s="235">
        <v>0</v>
      </c>
      <c r="L50" s="235">
        <v>0</v>
      </c>
      <c r="M50" s="235">
        <v>0</v>
      </c>
      <c r="N50" s="235">
        <v>0</v>
      </c>
      <c r="O50" s="235">
        <v>0</v>
      </c>
      <c r="P50" s="235">
        <v>0</v>
      </c>
      <c r="Q50" s="235">
        <v>0</v>
      </c>
      <c r="R50" s="235">
        <v>0</v>
      </c>
      <c r="S50" s="235">
        <v>0</v>
      </c>
      <c r="T50" s="235">
        <v>0</v>
      </c>
      <c r="U50" s="235">
        <v>0</v>
      </c>
      <c r="V50" s="235">
        <v>0</v>
      </c>
      <c r="W50" s="235">
        <v>0</v>
      </c>
      <c r="X50" s="235">
        <v>0</v>
      </c>
      <c r="Y50" s="235">
        <v>0</v>
      </c>
      <c r="Z50" s="235">
        <v>0</v>
      </c>
      <c r="AA50" s="235">
        <v>0</v>
      </c>
      <c r="AB50" s="235">
        <v>0</v>
      </c>
      <c r="AD50" s="236">
        <v>62</v>
      </c>
      <c r="AE50" s="235">
        <v>24.532128183875454</v>
      </c>
      <c r="AF50" s="235">
        <v>25.440610973144846</v>
      </c>
      <c r="AG50" s="235">
        <v>26.397610833502153</v>
      </c>
      <c r="AH50" s="235">
        <v>27.408973889044116</v>
      </c>
      <c r="AI50" s="235">
        <v>0</v>
      </c>
      <c r="AJ50" s="235">
        <v>0</v>
      </c>
      <c r="AK50" s="235">
        <v>0</v>
      </c>
      <c r="AL50" s="235">
        <v>0</v>
      </c>
      <c r="AM50" s="235">
        <v>0</v>
      </c>
      <c r="AN50" s="235">
        <v>0</v>
      </c>
      <c r="AO50" s="235">
        <v>0</v>
      </c>
      <c r="AP50" s="235">
        <v>0</v>
      </c>
      <c r="AQ50" s="235">
        <v>0</v>
      </c>
      <c r="AR50" s="235">
        <v>0</v>
      </c>
      <c r="AS50" s="235">
        <v>0</v>
      </c>
      <c r="AT50" s="235">
        <v>0</v>
      </c>
      <c r="AU50" s="235">
        <v>0</v>
      </c>
      <c r="AV50" s="235">
        <v>0</v>
      </c>
      <c r="AW50" s="235">
        <v>0</v>
      </c>
      <c r="AX50" s="235">
        <v>0</v>
      </c>
      <c r="AY50" s="235">
        <v>0</v>
      </c>
      <c r="AZ50" s="235">
        <v>0</v>
      </c>
      <c r="BA50" s="235">
        <v>0</v>
      </c>
      <c r="BB50" s="235">
        <v>0</v>
      </c>
      <c r="BC50" s="235">
        <v>0</v>
      </c>
      <c r="BD50" s="235">
        <v>0</v>
      </c>
    </row>
    <row r="51" spans="2:56">
      <c r="B51" s="236">
        <v>63</v>
      </c>
      <c r="C51" s="235">
        <v>36.814323633473805</v>
      </c>
      <c r="D51" s="235">
        <v>37.875420519898704</v>
      </c>
      <c r="E51" s="235">
        <v>38.961933978675894</v>
      </c>
      <c r="F51" s="235">
        <v>0</v>
      </c>
      <c r="G51" s="235">
        <v>0</v>
      </c>
      <c r="H51" s="235">
        <v>0</v>
      </c>
      <c r="I51" s="235">
        <v>0</v>
      </c>
      <c r="J51" s="235">
        <v>0</v>
      </c>
      <c r="K51" s="235">
        <v>0</v>
      </c>
      <c r="L51" s="235">
        <v>0</v>
      </c>
      <c r="M51" s="235">
        <v>0</v>
      </c>
      <c r="N51" s="235">
        <v>0</v>
      </c>
      <c r="O51" s="235">
        <v>0</v>
      </c>
      <c r="P51" s="235">
        <v>0</v>
      </c>
      <c r="Q51" s="235">
        <v>0</v>
      </c>
      <c r="R51" s="235">
        <v>0</v>
      </c>
      <c r="S51" s="235">
        <v>0</v>
      </c>
      <c r="T51" s="235">
        <v>0</v>
      </c>
      <c r="U51" s="235">
        <v>0</v>
      </c>
      <c r="V51" s="235">
        <v>0</v>
      </c>
      <c r="W51" s="235">
        <v>0</v>
      </c>
      <c r="X51" s="235">
        <v>0</v>
      </c>
      <c r="Y51" s="235">
        <v>0</v>
      </c>
      <c r="Z51" s="235">
        <v>0</v>
      </c>
      <c r="AA51" s="235">
        <v>0</v>
      </c>
      <c r="AB51" s="235">
        <v>0</v>
      </c>
      <c r="AD51" s="236">
        <v>63</v>
      </c>
      <c r="AE51" s="235">
        <v>26.368607004400531</v>
      </c>
      <c r="AF51" s="235">
        <v>27.371959847114582</v>
      </c>
      <c r="AG51" s="235">
        <v>28.432911237378548</v>
      </c>
      <c r="AH51" s="235">
        <v>0</v>
      </c>
      <c r="AI51" s="235">
        <v>0</v>
      </c>
      <c r="AJ51" s="235">
        <v>0</v>
      </c>
      <c r="AK51" s="235">
        <v>0</v>
      </c>
      <c r="AL51" s="235">
        <v>0</v>
      </c>
      <c r="AM51" s="235">
        <v>0</v>
      </c>
      <c r="AN51" s="235">
        <v>0</v>
      </c>
      <c r="AO51" s="235">
        <v>0</v>
      </c>
      <c r="AP51" s="235">
        <v>0</v>
      </c>
      <c r="AQ51" s="235">
        <v>0</v>
      </c>
      <c r="AR51" s="235">
        <v>0</v>
      </c>
      <c r="AS51" s="235">
        <v>0</v>
      </c>
      <c r="AT51" s="235">
        <v>0</v>
      </c>
      <c r="AU51" s="235">
        <v>0</v>
      </c>
      <c r="AV51" s="235">
        <v>0</v>
      </c>
      <c r="AW51" s="235">
        <v>0</v>
      </c>
      <c r="AX51" s="235">
        <v>0</v>
      </c>
      <c r="AY51" s="235">
        <v>0</v>
      </c>
      <c r="AZ51" s="235">
        <v>0</v>
      </c>
      <c r="BA51" s="235">
        <v>0</v>
      </c>
      <c r="BB51" s="235">
        <v>0</v>
      </c>
      <c r="BC51" s="235">
        <v>0</v>
      </c>
      <c r="BD51" s="235">
        <v>0</v>
      </c>
    </row>
    <row r="52" spans="2:56">
      <c r="B52" s="236">
        <v>64</v>
      </c>
      <c r="C52" s="235">
        <v>39.061060443873863</v>
      </c>
      <c r="D52" s="235">
        <v>40.192325373734633</v>
      </c>
      <c r="E52" s="235">
        <v>0</v>
      </c>
      <c r="F52" s="235">
        <v>0</v>
      </c>
      <c r="G52" s="235">
        <v>0</v>
      </c>
      <c r="H52" s="235">
        <v>0</v>
      </c>
      <c r="I52" s="235">
        <v>0</v>
      </c>
      <c r="J52" s="235">
        <v>0</v>
      </c>
      <c r="K52" s="235">
        <v>0</v>
      </c>
      <c r="L52" s="235">
        <v>0</v>
      </c>
      <c r="M52" s="235">
        <v>0</v>
      </c>
      <c r="N52" s="235">
        <v>0</v>
      </c>
      <c r="O52" s="235">
        <v>0</v>
      </c>
      <c r="P52" s="235">
        <v>0</v>
      </c>
      <c r="Q52" s="235">
        <v>0</v>
      </c>
      <c r="R52" s="235">
        <v>0</v>
      </c>
      <c r="S52" s="235">
        <v>0</v>
      </c>
      <c r="T52" s="235">
        <v>0</v>
      </c>
      <c r="U52" s="235">
        <v>0</v>
      </c>
      <c r="V52" s="235">
        <v>0</v>
      </c>
      <c r="W52" s="235">
        <v>0</v>
      </c>
      <c r="X52" s="235">
        <v>0</v>
      </c>
      <c r="Y52" s="235">
        <v>0</v>
      </c>
      <c r="Z52" s="235">
        <v>0</v>
      </c>
      <c r="AA52" s="235">
        <v>0</v>
      </c>
      <c r="AB52" s="235">
        <v>0</v>
      </c>
      <c r="AD52" s="236">
        <v>64</v>
      </c>
      <c r="AE52" s="235">
        <v>28.402816025138137</v>
      </c>
      <c r="AF52" s="235">
        <v>29.51604649123356</v>
      </c>
      <c r="AG52" s="235">
        <v>0</v>
      </c>
      <c r="AH52" s="235">
        <v>0</v>
      </c>
      <c r="AI52" s="235">
        <v>0</v>
      </c>
      <c r="AJ52" s="235">
        <v>0</v>
      </c>
      <c r="AK52" s="235">
        <v>0</v>
      </c>
      <c r="AL52" s="235">
        <v>0</v>
      </c>
      <c r="AM52" s="235">
        <v>0</v>
      </c>
      <c r="AN52" s="235">
        <v>0</v>
      </c>
      <c r="AO52" s="235">
        <v>0</v>
      </c>
      <c r="AP52" s="235">
        <v>0</v>
      </c>
      <c r="AQ52" s="235">
        <v>0</v>
      </c>
      <c r="AR52" s="235">
        <v>0</v>
      </c>
      <c r="AS52" s="235">
        <v>0</v>
      </c>
      <c r="AT52" s="235">
        <v>0</v>
      </c>
      <c r="AU52" s="235">
        <v>0</v>
      </c>
      <c r="AV52" s="235">
        <v>0</v>
      </c>
      <c r="AW52" s="235">
        <v>0</v>
      </c>
      <c r="AX52" s="235">
        <v>0</v>
      </c>
      <c r="AY52" s="235">
        <v>0</v>
      </c>
      <c r="AZ52" s="235">
        <v>0</v>
      </c>
      <c r="BA52" s="235">
        <v>0</v>
      </c>
      <c r="BB52" s="235">
        <v>0</v>
      </c>
      <c r="BC52" s="235">
        <v>0</v>
      </c>
      <c r="BD52" s="235">
        <v>0</v>
      </c>
    </row>
    <row r="53" spans="2:56">
      <c r="B53" s="236">
        <v>65</v>
      </c>
      <c r="C53" s="235">
        <v>41.459670277235276</v>
      </c>
      <c r="D53" s="235">
        <v>0</v>
      </c>
      <c r="E53" s="235">
        <v>0</v>
      </c>
      <c r="F53" s="235">
        <v>0</v>
      </c>
      <c r="G53" s="235">
        <v>0</v>
      </c>
      <c r="H53" s="235">
        <v>0</v>
      </c>
      <c r="I53" s="235">
        <v>0</v>
      </c>
      <c r="J53" s="235">
        <v>0</v>
      </c>
      <c r="K53" s="235">
        <v>0</v>
      </c>
      <c r="L53" s="235">
        <v>0</v>
      </c>
      <c r="M53" s="235">
        <v>0</v>
      </c>
      <c r="N53" s="235">
        <v>0</v>
      </c>
      <c r="O53" s="235">
        <v>0</v>
      </c>
      <c r="P53" s="235">
        <v>0</v>
      </c>
      <c r="Q53" s="235">
        <v>0</v>
      </c>
      <c r="R53" s="235">
        <v>0</v>
      </c>
      <c r="S53" s="235">
        <v>0</v>
      </c>
      <c r="T53" s="235">
        <v>0</v>
      </c>
      <c r="U53" s="235">
        <v>0</v>
      </c>
      <c r="V53" s="235">
        <v>0</v>
      </c>
      <c r="W53" s="235">
        <v>0</v>
      </c>
      <c r="X53" s="235">
        <v>0</v>
      </c>
      <c r="Y53" s="235">
        <v>0</v>
      </c>
      <c r="Z53" s="235">
        <v>0</v>
      </c>
      <c r="AA53" s="235">
        <v>0</v>
      </c>
      <c r="AB53" s="235">
        <v>0</v>
      </c>
      <c r="AD53" s="236">
        <v>65</v>
      </c>
      <c r="AE53" s="235">
        <v>30.659606480513837</v>
      </c>
      <c r="AF53" s="235">
        <v>0</v>
      </c>
      <c r="AG53" s="235">
        <v>0</v>
      </c>
      <c r="AH53" s="235">
        <v>0</v>
      </c>
      <c r="AI53" s="235">
        <v>0</v>
      </c>
      <c r="AJ53" s="235">
        <v>0</v>
      </c>
      <c r="AK53" s="235">
        <v>0</v>
      </c>
      <c r="AL53" s="235">
        <v>0</v>
      </c>
      <c r="AM53" s="235">
        <v>0</v>
      </c>
      <c r="AN53" s="235">
        <v>0</v>
      </c>
      <c r="AO53" s="235">
        <v>0</v>
      </c>
      <c r="AP53" s="235">
        <v>0</v>
      </c>
      <c r="AQ53" s="235">
        <v>0</v>
      </c>
      <c r="AR53" s="235">
        <v>0</v>
      </c>
      <c r="AS53" s="235">
        <v>0</v>
      </c>
      <c r="AT53" s="235">
        <v>0</v>
      </c>
      <c r="AU53" s="235">
        <v>0</v>
      </c>
      <c r="AV53" s="235">
        <v>0</v>
      </c>
      <c r="AW53" s="235">
        <v>0</v>
      </c>
      <c r="AX53" s="235">
        <v>0</v>
      </c>
      <c r="AY53" s="235">
        <v>0</v>
      </c>
      <c r="AZ53" s="235">
        <v>0</v>
      </c>
      <c r="BA53" s="235">
        <v>0</v>
      </c>
      <c r="BB53" s="235">
        <v>0</v>
      </c>
      <c r="BC53" s="235">
        <v>0</v>
      </c>
      <c r="BD53" s="235">
        <v>0</v>
      </c>
    </row>
    <row r="54" spans="2:56">
      <c r="B54" s="236">
        <v>66</v>
      </c>
      <c r="C54" s="235">
        <v>0</v>
      </c>
      <c r="D54" s="235">
        <v>0</v>
      </c>
      <c r="E54" s="235">
        <v>0</v>
      </c>
      <c r="F54" s="235">
        <v>0</v>
      </c>
      <c r="G54" s="235">
        <v>0</v>
      </c>
      <c r="H54" s="235">
        <v>0</v>
      </c>
      <c r="I54" s="235">
        <v>0</v>
      </c>
      <c r="J54" s="235">
        <v>0</v>
      </c>
      <c r="K54" s="235">
        <v>0</v>
      </c>
      <c r="L54" s="235">
        <v>0</v>
      </c>
      <c r="M54" s="235">
        <v>0</v>
      </c>
      <c r="N54" s="235">
        <v>0</v>
      </c>
      <c r="O54" s="235">
        <v>0</v>
      </c>
      <c r="P54" s="235">
        <v>0</v>
      </c>
      <c r="Q54" s="235">
        <v>0</v>
      </c>
      <c r="R54" s="235">
        <v>0</v>
      </c>
      <c r="S54" s="235">
        <v>0</v>
      </c>
      <c r="T54" s="235">
        <v>0</v>
      </c>
      <c r="U54" s="235">
        <v>0</v>
      </c>
      <c r="V54" s="235">
        <v>0</v>
      </c>
      <c r="W54" s="235">
        <v>0</v>
      </c>
      <c r="X54" s="235">
        <v>0</v>
      </c>
      <c r="Y54" s="235">
        <v>0</v>
      </c>
      <c r="Z54" s="235">
        <v>0</v>
      </c>
      <c r="AA54" s="235">
        <v>0</v>
      </c>
      <c r="AB54" s="235">
        <v>0</v>
      </c>
      <c r="AD54" s="236">
        <v>66</v>
      </c>
      <c r="AE54" s="235">
        <v>0</v>
      </c>
      <c r="AF54" s="235">
        <v>0</v>
      </c>
      <c r="AG54" s="235">
        <v>0</v>
      </c>
      <c r="AH54" s="235">
        <v>0</v>
      </c>
      <c r="AI54" s="235">
        <v>0</v>
      </c>
      <c r="AJ54" s="235">
        <v>0</v>
      </c>
      <c r="AK54" s="235">
        <v>0</v>
      </c>
      <c r="AL54" s="235">
        <v>0</v>
      </c>
      <c r="AM54" s="235">
        <v>0</v>
      </c>
      <c r="AN54" s="235">
        <v>0</v>
      </c>
      <c r="AO54" s="235">
        <v>0</v>
      </c>
      <c r="AP54" s="235">
        <v>0</v>
      </c>
      <c r="AQ54" s="235">
        <v>0</v>
      </c>
      <c r="AR54" s="235">
        <v>0</v>
      </c>
      <c r="AS54" s="235">
        <v>0</v>
      </c>
      <c r="AT54" s="235">
        <v>0</v>
      </c>
      <c r="AU54" s="235">
        <v>0</v>
      </c>
      <c r="AV54" s="235">
        <v>0</v>
      </c>
      <c r="AW54" s="235">
        <v>0</v>
      </c>
      <c r="AX54" s="235">
        <v>0</v>
      </c>
      <c r="AY54" s="235">
        <v>0</v>
      </c>
      <c r="AZ54" s="235">
        <v>0</v>
      </c>
      <c r="BA54" s="235">
        <v>0</v>
      </c>
      <c r="BB54" s="235">
        <v>0</v>
      </c>
      <c r="BC54" s="235">
        <v>0</v>
      </c>
      <c r="BD54" s="235">
        <v>0</v>
      </c>
    </row>
    <row r="55" spans="2:56">
      <c r="B55" s="236">
        <v>67</v>
      </c>
      <c r="C55" s="235">
        <v>0</v>
      </c>
      <c r="D55" s="235">
        <v>0</v>
      </c>
      <c r="E55" s="235">
        <v>0</v>
      </c>
      <c r="F55" s="235">
        <v>0</v>
      </c>
      <c r="G55" s="235">
        <v>0</v>
      </c>
      <c r="H55" s="235">
        <v>0</v>
      </c>
      <c r="I55" s="235">
        <v>0</v>
      </c>
      <c r="J55" s="235">
        <v>0</v>
      </c>
      <c r="K55" s="235">
        <v>0</v>
      </c>
      <c r="L55" s="235">
        <v>0</v>
      </c>
      <c r="M55" s="235">
        <v>0</v>
      </c>
      <c r="N55" s="235">
        <v>0</v>
      </c>
      <c r="O55" s="235">
        <v>0</v>
      </c>
      <c r="P55" s="235">
        <v>0</v>
      </c>
      <c r="Q55" s="235">
        <v>0</v>
      </c>
      <c r="R55" s="235">
        <v>0</v>
      </c>
      <c r="S55" s="235">
        <v>0</v>
      </c>
      <c r="T55" s="235">
        <v>0</v>
      </c>
      <c r="U55" s="235">
        <v>0</v>
      </c>
      <c r="V55" s="235">
        <v>0</v>
      </c>
      <c r="W55" s="235">
        <v>0</v>
      </c>
      <c r="X55" s="235">
        <v>0</v>
      </c>
      <c r="Y55" s="235">
        <v>0</v>
      </c>
      <c r="Z55" s="235">
        <v>0</v>
      </c>
      <c r="AA55" s="235">
        <v>0</v>
      </c>
      <c r="AB55" s="235">
        <v>0</v>
      </c>
      <c r="AD55" s="236">
        <v>67</v>
      </c>
      <c r="AE55" s="235">
        <v>0</v>
      </c>
      <c r="AF55" s="235">
        <v>0</v>
      </c>
      <c r="AG55" s="235">
        <v>0</v>
      </c>
      <c r="AH55" s="235">
        <v>0</v>
      </c>
      <c r="AI55" s="235">
        <v>0</v>
      </c>
      <c r="AJ55" s="235">
        <v>0</v>
      </c>
      <c r="AK55" s="235">
        <v>0</v>
      </c>
      <c r="AL55" s="235">
        <v>0</v>
      </c>
      <c r="AM55" s="235">
        <v>0</v>
      </c>
      <c r="AN55" s="235">
        <v>0</v>
      </c>
      <c r="AO55" s="235">
        <v>0</v>
      </c>
      <c r="AP55" s="235">
        <v>0</v>
      </c>
      <c r="AQ55" s="235">
        <v>0</v>
      </c>
      <c r="AR55" s="235">
        <v>0</v>
      </c>
      <c r="AS55" s="235">
        <v>0</v>
      </c>
      <c r="AT55" s="235">
        <v>0</v>
      </c>
      <c r="AU55" s="235">
        <v>0</v>
      </c>
      <c r="AV55" s="235">
        <v>0</v>
      </c>
      <c r="AW55" s="235">
        <v>0</v>
      </c>
      <c r="AX55" s="235">
        <v>0</v>
      </c>
      <c r="AY55" s="235">
        <v>0</v>
      </c>
      <c r="AZ55" s="235">
        <v>0</v>
      </c>
      <c r="BA55" s="235">
        <v>0</v>
      </c>
      <c r="BB55" s="235">
        <v>0</v>
      </c>
      <c r="BC55" s="235">
        <v>0</v>
      </c>
      <c r="BD55" s="235">
        <v>0</v>
      </c>
    </row>
    <row r="56" spans="2:56">
      <c r="B56" s="236">
        <v>68</v>
      </c>
      <c r="C56" s="235">
        <v>0</v>
      </c>
      <c r="D56" s="235">
        <v>0</v>
      </c>
      <c r="E56" s="235">
        <v>0</v>
      </c>
      <c r="F56" s="235">
        <v>0</v>
      </c>
      <c r="G56" s="235">
        <v>0</v>
      </c>
      <c r="H56" s="235">
        <v>0</v>
      </c>
      <c r="I56" s="235">
        <v>0</v>
      </c>
      <c r="J56" s="235">
        <v>0</v>
      </c>
      <c r="K56" s="235">
        <v>0</v>
      </c>
      <c r="L56" s="235">
        <v>0</v>
      </c>
      <c r="M56" s="235">
        <v>0</v>
      </c>
      <c r="N56" s="235">
        <v>0</v>
      </c>
      <c r="O56" s="235">
        <v>0</v>
      </c>
      <c r="P56" s="235">
        <v>0</v>
      </c>
      <c r="Q56" s="235">
        <v>0</v>
      </c>
      <c r="R56" s="235">
        <v>0</v>
      </c>
      <c r="S56" s="235">
        <v>0</v>
      </c>
      <c r="T56" s="235">
        <v>0</v>
      </c>
      <c r="U56" s="235">
        <v>0</v>
      </c>
      <c r="V56" s="235">
        <v>0</v>
      </c>
      <c r="W56" s="235">
        <v>0</v>
      </c>
      <c r="X56" s="235">
        <v>0</v>
      </c>
      <c r="Y56" s="235">
        <v>0</v>
      </c>
      <c r="Z56" s="235">
        <v>0</v>
      </c>
      <c r="AA56" s="235">
        <v>0</v>
      </c>
      <c r="AB56" s="235">
        <v>0</v>
      </c>
      <c r="AD56" s="236">
        <v>68</v>
      </c>
      <c r="AE56" s="235">
        <v>0</v>
      </c>
      <c r="AF56" s="235">
        <v>0</v>
      </c>
      <c r="AG56" s="235">
        <v>0</v>
      </c>
      <c r="AH56" s="235">
        <v>0</v>
      </c>
      <c r="AI56" s="235">
        <v>0</v>
      </c>
      <c r="AJ56" s="235">
        <v>0</v>
      </c>
      <c r="AK56" s="235">
        <v>0</v>
      </c>
      <c r="AL56" s="235">
        <v>0</v>
      </c>
      <c r="AM56" s="235">
        <v>0</v>
      </c>
      <c r="AN56" s="235">
        <v>0</v>
      </c>
      <c r="AO56" s="235">
        <v>0</v>
      </c>
      <c r="AP56" s="235">
        <v>0</v>
      </c>
      <c r="AQ56" s="235">
        <v>0</v>
      </c>
      <c r="AR56" s="235">
        <v>0</v>
      </c>
      <c r="AS56" s="235">
        <v>0</v>
      </c>
      <c r="AT56" s="235">
        <v>0</v>
      </c>
      <c r="AU56" s="235">
        <v>0</v>
      </c>
      <c r="AV56" s="235">
        <v>0</v>
      </c>
      <c r="AW56" s="235">
        <v>0</v>
      </c>
      <c r="AX56" s="235">
        <v>0</v>
      </c>
      <c r="AY56" s="235">
        <v>0</v>
      </c>
      <c r="AZ56" s="235">
        <v>0</v>
      </c>
      <c r="BA56" s="235">
        <v>0</v>
      </c>
      <c r="BB56" s="235">
        <v>0</v>
      </c>
      <c r="BC56" s="235">
        <v>0</v>
      </c>
      <c r="BD56" s="235">
        <v>0</v>
      </c>
    </row>
    <row r="57" spans="2:56">
      <c r="B57" s="236">
        <v>69</v>
      </c>
      <c r="C57" s="235">
        <v>0</v>
      </c>
      <c r="D57" s="235">
        <v>0</v>
      </c>
      <c r="E57" s="235">
        <v>0</v>
      </c>
      <c r="F57" s="235">
        <v>0</v>
      </c>
      <c r="G57" s="235">
        <v>0</v>
      </c>
      <c r="H57" s="235">
        <v>0</v>
      </c>
      <c r="I57" s="235">
        <v>0</v>
      </c>
      <c r="J57" s="235">
        <v>0</v>
      </c>
      <c r="K57" s="235">
        <v>0</v>
      </c>
      <c r="L57" s="235">
        <v>0</v>
      </c>
      <c r="M57" s="235">
        <v>0</v>
      </c>
      <c r="N57" s="235">
        <v>0</v>
      </c>
      <c r="O57" s="235">
        <v>0</v>
      </c>
      <c r="P57" s="235">
        <v>0</v>
      </c>
      <c r="Q57" s="235">
        <v>0</v>
      </c>
      <c r="R57" s="235">
        <v>0</v>
      </c>
      <c r="S57" s="235">
        <v>0</v>
      </c>
      <c r="T57" s="235">
        <v>0</v>
      </c>
      <c r="U57" s="235">
        <v>0</v>
      </c>
      <c r="V57" s="235">
        <v>0</v>
      </c>
      <c r="W57" s="235">
        <v>0</v>
      </c>
      <c r="X57" s="235">
        <v>0</v>
      </c>
      <c r="Y57" s="235">
        <v>0</v>
      </c>
      <c r="Z57" s="235">
        <v>0</v>
      </c>
      <c r="AA57" s="235">
        <v>0</v>
      </c>
      <c r="AB57" s="235">
        <v>0</v>
      </c>
      <c r="AD57" s="236">
        <v>69</v>
      </c>
      <c r="AE57" s="235">
        <v>0</v>
      </c>
      <c r="AF57" s="235">
        <v>0</v>
      </c>
      <c r="AG57" s="235">
        <v>0</v>
      </c>
      <c r="AH57" s="235">
        <v>0</v>
      </c>
      <c r="AI57" s="235">
        <v>0</v>
      </c>
      <c r="AJ57" s="235">
        <v>0</v>
      </c>
      <c r="AK57" s="235">
        <v>0</v>
      </c>
      <c r="AL57" s="235">
        <v>0</v>
      </c>
      <c r="AM57" s="235">
        <v>0</v>
      </c>
      <c r="AN57" s="235">
        <v>0</v>
      </c>
      <c r="AO57" s="235">
        <v>0</v>
      </c>
      <c r="AP57" s="235">
        <v>0</v>
      </c>
      <c r="AQ57" s="235">
        <v>0</v>
      </c>
      <c r="AR57" s="235">
        <v>0</v>
      </c>
      <c r="AS57" s="235">
        <v>0</v>
      </c>
      <c r="AT57" s="235">
        <v>0</v>
      </c>
      <c r="AU57" s="235">
        <v>0</v>
      </c>
      <c r="AV57" s="235">
        <v>0</v>
      </c>
      <c r="AW57" s="235">
        <v>0</v>
      </c>
      <c r="AX57" s="235">
        <v>0</v>
      </c>
      <c r="AY57" s="235">
        <v>0</v>
      </c>
      <c r="AZ57" s="235">
        <v>0</v>
      </c>
      <c r="BA57" s="235">
        <v>0</v>
      </c>
      <c r="BB57" s="235">
        <v>0</v>
      </c>
      <c r="BC57" s="235">
        <v>0</v>
      </c>
      <c r="BD57" s="235">
        <v>0</v>
      </c>
    </row>
    <row r="58" spans="2:56">
      <c r="B58" s="236">
        <v>70</v>
      </c>
      <c r="C58" s="235">
        <v>0</v>
      </c>
      <c r="D58" s="235">
        <v>0</v>
      </c>
      <c r="E58" s="235">
        <v>0</v>
      </c>
      <c r="F58" s="235">
        <v>0</v>
      </c>
      <c r="G58" s="235">
        <v>0</v>
      </c>
      <c r="H58" s="235">
        <v>0</v>
      </c>
      <c r="I58" s="235">
        <v>0</v>
      </c>
      <c r="J58" s="235">
        <v>0</v>
      </c>
      <c r="K58" s="235">
        <v>0</v>
      </c>
      <c r="L58" s="235">
        <v>0</v>
      </c>
      <c r="M58" s="235">
        <v>0</v>
      </c>
      <c r="N58" s="235">
        <v>0</v>
      </c>
      <c r="O58" s="235">
        <v>0</v>
      </c>
      <c r="P58" s="235">
        <v>0</v>
      </c>
      <c r="Q58" s="235">
        <v>0</v>
      </c>
      <c r="R58" s="235">
        <v>0</v>
      </c>
      <c r="S58" s="235">
        <v>0</v>
      </c>
      <c r="T58" s="235">
        <v>0</v>
      </c>
      <c r="U58" s="235">
        <v>0</v>
      </c>
      <c r="V58" s="235">
        <v>0</v>
      </c>
      <c r="W58" s="235">
        <v>0</v>
      </c>
      <c r="X58" s="235">
        <v>0</v>
      </c>
      <c r="Y58" s="235">
        <v>0</v>
      </c>
      <c r="Z58" s="235">
        <v>0</v>
      </c>
      <c r="AA58" s="235">
        <v>0</v>
      </c>
      <c r="AB58" s="235">
        <v>0</v>
      </c>
      <c r="AD58" s="236">
        <v>70</v>
      </c>
      <c r="AE58" s="235">
        <v>0</v>
      </c>
      <c r="AF58" s="235">
        <v>0</v>
      </c>
      <c r="AG58" s="235">
        <v>0</v>
      </c>
      <c r="AH58" s="235">
        <v>0</v>
      </c>
      <c r="AI58" s="235">
        <v>0</v>
      </c>
      <c r="AJ58" s="235">
        <v>0</v>
      </c>
      <c r="AK58" s="235">
        <v>0</v>
      </c>
      <c r="AL58" s="235">
        <v>0</v>
      </c>
      <c r="AM58" s="235">
        <v>0</v>
      </c>
      <c r="AN58" s="235">
        <v>0</v>
      </c>
      <c r="AO58" s="235">
        <v>0</v>
      </c>
      <c r="AP58" s="235">
        <v>0</v>
      </c>
      <c r="AQ58" s="235">
        <v>0</v>
      </c>
      <c r="AR58" s="235">
        <v>0</v>
      </c>
      <c r="AS58" s="235">
        <v>0</v>
      </c>
      <c r="AT58" s="235">
        <v>0</v>
      </c>
      <c r="AU58" s="235">
        <v>0</v>
      </c>
      <c r="AV58" s="235">
        <v>0</v>
      </c>
      <c r="AW58" s="235">
        <v>0</v>
      </c>
      <c r="AX58" s="235">
        <v>0</v>
      </c>
      <c r="AY58" s="235">
        <v>0</v>
      </c>
      <c r="AZ58" s="235">
        <v>0</v>
      </c>
      <c r="BA58" s="235">
        <v>0</v>
      </c>
      <c r="BB58" s="235">
        <v>0</v>
      </c>
      <c r="BC58" s="235">
        <v>0</v>
      </c>
      <c r="BD58" s="235">
        <v>0</v>
      </c>
    </row>
    <row r="61" spans="2:56">
      <c r="B61" s="101" t="s">
        <v>111</v>
      </c>
      <c r="AD61" s="101" t="s">
        <v>111</v>
      </c>
    </row>
    <row r="63" spans="2:56" ht="12.75" customHeight="1">
      <c r="B63" s="237" t="s">
        <v>110</v>
      </c>
      <c r="C63" s="560" t="s">
        <v>108</v>
      </c>
      <c r="D63" s="561"/>
      <c r="E63" s="561"/>
      <c r="F63" s="561"/>
      <c r="G63" s="561"/>
      <c r="H63" s="561"/>
      <c r="I63" s="561"/>
      <c r="J63" s="561"/>
      <c r="K63" s="561"/>
      <c r="L63" s="561"/>
      <c r="M63" s="561"/>
      <c r="N63" s="561"/>
      <c r="O63" s="561"/>
      <c r="P63" s="561"/>
      <c r="Q63" s="561"/>
      <c r="R63" s="561"/>
      <c r="S63" s="561"/>
      <c r="T63" s="561"/>
      <c r="U63" s="561"/>
      <c r="V63" s="561"/>
      <c r="W63" s="561"/>
      <c r="X63" s="561"/>
      <c r="Y63" s="561"/>
      <c r="Z63" s="561"/>
      <c r="AA63" s="561"/>
      <c r="AB63" s="562"/>
      <c r="AD63" s="237" t="s">
        <v>109</v>
      </c>
      <c r="AE63" s="560" t="s">
        <v>108</v>
      </c>
      <c r="AF63" s="561"/>
      <c r="AG63" s="561"/>
      <c r="AH63" s="561"/>
      <c r="AI63" s="561"/>
      <c r="AJ63" s="561"/>
      <c r="AK63" s="561"/>
      <c r="AL63" s="561"/>
      <c r="AM63" s="561"/>
      <c r="AN63" s="561"/>
      <c r="AO63" s="561"/>
      <c r="AP63" s="561"/>
      <c r="AQ63" s="561"/>
      <c r="AR63" s="561"/>
      <c r="AS63" s="561"/>
      <c r="AT63" s="561"/>
      <c r="AU63" s="561"/>
      <c r="AV63" s="561"/>
      <c r="AW63" s="561"/>
      <c r="AX63" s="561"/>
      <c r="AY63" s="561"/>
      <c r="AZ63" s="561"/>
      <c r="BA63" s="561"/>
      <c r="BB63" s="561"/>
      <c r="BC63" s="561"/>
      <c r="BD63" s="562"/>
    </row>
    <row r="64" spans="2:56">
      <c r="B64" s="236" t="s">
        <v>107</v>
      </c>
      <c r="C64" s="236">
        <v>5</v>
      </c>
      <c r="D64" s="236">
        <v>6</v>
      </c>
      <c r="E64" s="236">
        <v>7</v>
      </c>
      <c r="F64" s="236">
        <v>8</v>
      </c>
      <c r="G64" s="236">
        <v>9</v>
      </c>
      <c r="H64" s="236">
        <v>10</v>
      </c>
      <c r="I64" s="236">
        <v>11</v>
      </c>
      <c r="J64" s="236">
        <v>12</v>
      </c>
      <c r="K64" s="236">
        <v>13</v>
      </c>
      <c r="L64" s="236">
        <v>14</v>
      </c>
      <c r="M64" s="236">
        <v>15</v>
      </c>
      <c r="N64" s="236">
        <v>16</v>
      </c>
      <c r="O64" s="236">
        <v>17</v>
      </c>
      <c r="P64" s="236">
        <v>18</v>
      </c>
      <c r="Q64" s="236">
        <v>19</v>
      </c>
      <c r="R64" s="236">
        <v>20</v>
      </c>
      <c r="S64" s="236">
        <v>21</v>
      </c>
      <c r="T64" s="236">
        <v>22</v>
      </c>
      <c r="U64" s="236">
        <v>23</v>
      </c>
      <c r="V64" s="236">
        <v>24</v>
      </c>
      <c r="W64" s="236">
        <v>25</v>
      </c>
      <c r="X64" s="236">
        <v>26</v>
      </c>
      <c r="Y64" s="236">
        <v>27</v>
      </c>
      <c r="Z64" s="236">
        <v>28</v>
      </c>
      <c r="AA64" s="236">
        <v>29</v>
      </c>
      <c r="AB64" s="236">
        <v>30</v>
      </c>
      <c r="AD64" s="236" t="s">
        <v>107</v>
      </c>
      <c r="AE64" s="236">
        <v>5</v>
      </c>
      <c r="AF64" s="236">
        <v>6</v>
      </c>
      <c r="AG64" s="236">
        <v>7</v>
      </c>
      <c r="AH64" s="236">
        <v>8</v>
      </c>
      <c r="AI64" s="236">
        <v>9</v>
      </c>
      <c r="AJ64" s="236">
        <v>10</v>
      </c>
      <c r="AK64" s="236">
        <v>11</v>
      </c>
      <c r="AL64" s="236">
        <v>12</v>
      </c>
      <c r="AM64" s="236">
        <v>13</v>
      </c>
      <c r="AN64" s="236">
        <v>14</v>
      </c>
      <c r="AO64" s="236">
        <v>15</v>
      </c>
      <c r="AP64" s="236">
        <v>16</v>
      </c>
      <c r="AQ64" s="236">
        <v>17</v>
      </c>
      <c r="AR64" s="236">
        <v>18</v>
      </c>
      <c r="AS64" s="236">
        <v>19</v>
      </c>
      <c r="AT64" s="236">
        <v>20</v>
      </c>
      <c r="AU64" s="236">
        <v>21</v>
      </c>
      <c r="AV64" s="236">
        <v>22</v>
      </c>
      <c r="AW64" s="236">
        <v>23</v>
      </c>
      <c r="AX64" s="236">
        <v>24</v>
      </c>
      <c r="AY64" s="236">
        <v>25</v>
      </c>
      <c r="AZ64" s="236">
        <v>26</v>
      </c>
      <c r="BA64" s="236">
        <v>27</v>
      </c>
      <c r="BB64" s="236">
        <v>28</v>
      </c>
      <c r="BC64" s="236">
        <v>29</v>
      </c>
      <c r="BD64" s="236">
        <v>30</v>
      </c>
    </row>
    <row r="65" spans="2:56">
      <c r="B65" s="236">
        <v>18</v>
      </c>
      <c r="C65" s="235">
        <v>0.41724792629170887</v>
      </c>
      <c r="D65" s="235">
        <v>0.42416212672849385</v>
      </c>
      <c r="E65" s="235">
        <v>0.43128118160602436</v>
      </c>
      <c r="F65" s="235">
        <v>0.43859964064277601</v>
      </c>
      <c r="G65" s="235">
        <v>0.44600437101954726</v>
      </c>
      <c r="H65" s="235">
        <v>0.45340078665410616</v>
      </c>
      <c r="I65" s="235">
        <v>0.46075396047534256</v>
      </c>
      <c r="J65" s="235">
        <v>0.46803000937178346</v>
      </c>
      <c r="K65" s="235">
        <v>0.47518639539981661</v>
      </c>
      <c r="L65" s="235">
        <v>0.48234316674847028</v>
      </c>
      <c r="M65" s="235">
        <v>0.4894462558872385</v>
      </c>
      <c r="N65" s="235">
        <v>0.49649752867462288</v>
      </c>
      <c r="O65" s="235">
        <v>0.50348660809936208</v>
      </c>
      <c r="P65" s="235">
        <v>0.51044460140727299</v>
      </c>
      <c r="Q65" s="235">
        <v>0.51745069304580105</v>
      </c>
      <c r="R65" s="235">
        <v>0.52454062644849975</v>
      </c>
      <c r="S65" s="235">
        <v>0.53179809417943025</v>
      </c>
      <c r="T65" s="235">
        <v>0.53930765524467283</v>
      </c>
      <c r="U65" s="235">
        <v>0.54715515798664593</v>
      </c>
      <c r="V65" s="235">
        <v>0.55526924398764632</v>
      </c>
      <c r="W65" s="235">
        <v>0.56372201350534723</v>
      </c>
      <c r="X65" s="235">
        <v>0.57255602202075917</v>
      </c>
      <c r="Y65" s="235">
        <v>0.58181397435042637</v>
      </c>
      <c r="Z65" s="235">
        <v>0.59151777329465838</v>
      </c>
      <c r="AA65" s="235">
        <v>0.60165698912862675</v>
      </c>
      <c r="AB65" s="235">
        <v>0.61222804099734174</v>
      </c>
      <c r="AD65" s="236">
        <v>18</v>
      </c>
      <c r="AE65" s="235">
        <v>0.35379252688427659</v>
      </c>
      <c r="AF65" s="235">
        <v>0.35576860821399409</v>
      </c>
      <c r="AG65" s="235">
        <v>0.35784775256727774</v>
      </c>
      <c r="AH65" s="235">
        <v>0.36003403081550617</v>
      </c>
      <c r="AI65" s="235">
        <v>0.36229761610640987</v>
      </c>
      <c r="AJ65" s="235">
        <v>0.36460661344009571</v>
      </c>
      <c r="AK65" s="235">
        <v>0.36694072014468915</v>
      </c>
      <c r="AL65" s="235">
        <v>0.36930824555100633</v>
      </c>
      <c r="AM65" s="235">
        <v>0.37169440793065206</v>
      </c>
      <c r="AN65" s="235">
        <v>0.37423339575366832</v>
      </c>
      <c r="AO65" s="235">
        <v>0.37692633102979478</v>
      </c>
      <c r="AP65" s="235">
        <v>0.37978200296935144</v>
      </c>
      <c r="AQ65" s="235">
        <v>0.38279544166427765</v>
      </c>
      <c r="AR65" s="235">
        <v>0.38596024643217713</v>
      </c>
      <c r="AS65" s="235">
        <v>0.38931626674142905</v>
      </c>
      <c r="AT65" s="235">
        <v>0.39285681606519252</v>
      </c>
      <c r="AU65" s="235">
        <v>0.39660666287552798</v>
      </c>
      <c r="AV65" s="235">
        <v>0.4005938423146318</v>
      </c>
      <c r="AW65" s="235">
        <v>0.40486281542738156</v>
      </c>
      <c r="AX65" s="235">
        <v>0.40933943972181297</v>
      </c>
      <c r="AY65" s="235">
        <v>0.41407835957687811</v>
      </c>
      <c r="AZ65" s="235">
        <v>0.41909809585818197</v>
      </c>
      <c r="BA65" s="235">
        <v>0.42443586100354463</v>
      </c>
      <c r="BB65" s="235">
        <v>0.4301114043274028</v>
      </c>
      <c r="BC65" s="235">
        <v>0.43611904704000826</v>
      </c>
      <c r="BD65" s="235">
        <v>0.44246643404572245</v>
      </c>
    </row>
    <row r="66" spans="2:56">
      <c r="B66" s="236">
        <v>19</v>
      </c>
      <c r="C66" s="235">
        <v>0.43125922120896221</v>
      </c>
      <c r="D66" s="235">
        <v>0.4386030669551011</v>
      </c>
      <c r="E66" s="235">
        <v>0.44614922146103592</v>
      </c>
      <c r="F66" s="235">
        <v>0.45376912799625246</v>
      </c>
      <c r="G66" s="235">
        <v>0.46136119347788401</v>
      </c>
      <c r="H66" s="235">
        <v>0.46889267695976627</v>
      </c>
      <c r="I66" s="235">
        <v>0.47633097604460184</v>
      </c>
      <c r="J66" s="235">
        <v>0.48363332329244457</v>
      </c>
      <c r="K66" s="235">
        <v>0.49093480399622208</v>
      </c>
      <c r="L66" s="235">
        <v>0.4981771233521502</v>
      </c>
      <c r="M66" s="235">
        <v>0.50536351275771352</v>
      </c>
      <c r="N66" s="235">
        <v>0.51248363169236355</v>
      </c>
      <c r="O66" s="235">
        <v>0.51957175471031503</v>
      </c>
      <c r="P66" s="235">
        <v>0.52671320823972079</v>
      </c>
      <c r="Q66" s="235">
        <v>0.53394582606592311</v>
      </c>
      <c r="R66" s="235">
        <v>0.54135839811449882</v>
      </c>
      <c r="S66" s="235">
        <v>0.54903999602685394</v>
      </c>
      <c r="T66" s="235">
        <v>0.55708057130668109</v>
      </c>
      <c r="U66" s="235">
        <v>0.56540272087097576</v>
      </c>
      <c r="V66" s="235">
        <v>0.57408194982292715</v>
      </c>
      <c r="W66" s="235">
        <v>0.58316219728110563</v>
      </c>
      <c r="X66" s="235">
        <v>0.5926875119828473</v>
      </c>
      <c r="Y66" s="235">
        <v>0.60267994053401797</v>
      </c>
      <c r="Z66" s="235">
        <v>0.61312750614807832</v>
      </c>
      <c r="AA66" s="235">
        <v>0.62402565989066316</v>
      </c>
      <c r="AB66" s="235">
        <v>0.63537158943861161</v>
      </c>
      <c r="AD66" s="236">
        <v>19</v>
      </c>
      <c r="AE66" s="235">
        <v>0.35775593109011622</v>
      </c>
      <c r="AF66" s="235">
        <v>0.35991254540747186</v>
      </c>
      <c r="AG66" s="235">
        <v>0.36218125363344428</v>
      </c>
      <c r="AH66" s="235">
        <v>0.36452690507121804</v>
      </c>
      <c r="AI66" s="235">
        <v>0.3669141734533034</v>
      </c>
      <c r="AJ66" s="235">
        <v>0.3693218537873843</v>
      </c>
      <c r="AK66" s="235">
        <v>0.37176066135416763</v>
      </c>
      <c r="AL66" s="235">
        <v>0.37421514154396013</v>
      </c>
      <c r="AM66" s="235">
        <v>0.3768330101770514</v>
      </c>
      <c r="AN66" s="235">
        <v>0.37961388910021476</v>
      </c>
      <c r="AO66" s="235">
        <v>0.38256612909416687</v>
      </c>
      <c r="AP66" s="235">
        <v>0.38568337897460192</v>
      </c>
      <c r="AQ66" s="235">
        <v>0.38895806130429517</v>
      </c>
      <c r="AR66" s="235">
        <v>0.39243247960570077</v>
      </c>
      <c r="AS66" s="235">
        <v>0.39609877663907006</v>
      </c>
      <c r="AT66" s="235">
        <v>0.39998290015871507</v>
      </c>
      <c r="AU66" s="235">
        <v>0.40411415209652762</v>
      </c>
      <c r="AV66" s="235">
        <v>0.40853917893119679</v>
      </c>
      <c r="AW66" s="235">
        <v>0.41317852650984471</v>
      </c>
      <c r="AX66" s="235">
        <v>0.41808986541990029</v>
      </c>
      <c r="AY66" s="235">
        <v>0.42329234536078103</v>
      </c>
      <c r="AZ66" s="235">
        <v>0.42882483613570443</v>
      </c>
      <c r="BA66" s="235">
        <v>0.43470766002361261</v>
      </c>
      <c r="BB66" s="235">
        <v>0.44093433112572578</v>
      </c>
      <c r="BC66" s="235">
        <v>0.44751250218465555</v>
      </c>
      <c r="BD66" s="235">
        <v>0.45444781154969072</v>
      </c>
    </row>
    <row r="67" spans="2:56">
      <c r="B67" s="236">
        <v>20</v>
      </c>
      <c r="C67" s="235">
        <v>0.44620752736439878</v>
      </c>
      <c r="D67" s="235">
        <v>0.45398050626659991</v>
      </c>
      <c r="E67" s="235">
        <v>0.46181164806489716</v>
      </c>
      <c r="F67" s="235">
        <v>0.46959175614713355</v>
      </c>
      <c r="G67" s="235">
        <v>0.47729199347558843</v>
      </c>
      <c r="H67" s="235">
        <v>0.48488188444623498</v>
      </c>
      <c r="I67" s="235">
        <v>0.49231868970693465</v>
      </c>
      <c r="J67" s="235">
        <v>0.49975529174564842</v>
      </c>
      <c r="K67" s="235">
        <v>0.50712807477380573</v>
      </c>
      <c r="L67" s="235">
        <v>0.51444166527685187</v>
      </c>
      <c r="M67" s="235">
        <v>0.52168560008259013</v>
      </c>
      <c r="N67" s="235">
        <v>0.52889760494680504</v>
      </c>
      <c r="O67" s="235">
        <v>0.53616973317695327</v>
      </c>
      <c r="P67" s="235">
        <v>0.54354190679665892</v>
      </c>
      <c r="Q67" s="235">
        <v>0.55110834666723763</v>
      </c>
      <c r="R67" s="235">
        <v>0.55896285311852734</v>
      </c>
      <c r="S67" s="235">
        <v>0.56719962480226938</v>
      </c>
      <c r="T67" s="235">
        <v>0.57573436516073206</v>
      </c>
      <c r="U67" s="235">
        <v>0.58464614895181211</v>
      </c>
      <c r="V67" s="235">
        <v>0.59398026444457341</v>
      </c>
      <c r="W67" s="235">
        <v>0.60378207698827868</v>
      </c>
      <c r="X67" s="235">
        <v>0.61407365926747637</v>
      </c>
      <c r="Y67" s="235">
        <v>0.62484125417409986</v>
      </c>
      <c r="Z67" s="235">
        <v>0.63607918983931622</v>
      </c>
      <c r="AA67" s="235">
        <v>0.64778379773697203</v>
      </c>
      <c r="AB67" s="235">
        <v>0.65999413654307726</v>
      </c>
      <c r="AD67" s="236">
        <v>20</v>
      </c>
      <c r="AE67" s="235">
        <v>0.36205791421922517</v>
      </c>
      <c r="AF67" s="235">
        <v>0.36441482446177814</v>
      </c>
      <c r="AG67" s="235">
        <v>0.36684663778499815</v>
      </c>
      <c r="AH67" s="235">
        <v>0.36931437123440952</v>
      </c>
      <c r="AI67" s="235">
        <v>0.37179635420352075</v>
      </c>
      <c r="AJ67" s="235">
        <v>0.37430663668474923</v>
      </c>
      <c r="AK67" s="235">
        <v>0.37682911790884144</v>
      </c>
      <c r="AL67" s="235">
        <v>0.37952745989836428</v>
      </c>
      <c r="AM67" s="235">
        <v>0.38239912578186946</v>
      </c>
      <c r="AN67" s="235">
        <v>0.3854517116509088</v>
      </c>
      <c r="AO67" s="235">
        <v>0.3886771252234143</v>
      </c>
      <c r="AP67" s="235">
        <v>0.39206636785168369</v>
      </c>
      <c r="AQ67" s="235">
        <v>0.39566444884578439</v>
      </c>
      <c r="AR67" s="235">
        <v>0.39946212478245174</v>
      </c>
      <c r="AS67" s="235">
        <v>0.40348660803825964</v>
      </c>
      <c r="AT67" s="235">
        <v>0.40776854728002848</v>
      </c>
      <c r="AU67" s="235">
        <v>0.41235693324833905</v>
      </c>
      <c r="AV67" s="235">
        <v>0.41716642096237111</v>
      </c>
      <c r="AW67" s="235">
        <v>0.42225798425757372</v>
      </c>
      <c r="AX67" s="235">
        <v>0.42765142691682467</v>
      </c>
      <c r="AY67" s="235">
        <v>0.43338738644538577</v>
      </c>
      <c r="AZ67" s="235">
        <v>0.43948676621129174</v>
      </c>
      <c r="BA67" s="235">
        <v>0.44594217289779398</v>
      </c>
      <c r="BB67" s="235">
        <v>0.45276124374442511</v>
      </c>
      <c r="BC67" s="235">
        <v>0.45994953530554933</v>
      </c>
      <c r="BD67" s="235">
        <v>0.46754512944480897</v>
      </c>
    </row>
    <row r="68" spans="2:56">
      <c r="B68" s="236">
        <v>21</v>
      </c>
      <c r="C68" s="235">
        <v>0.46202504142054152</v>
      </c>
      <c r="D68" s="235">
        <v>0.47006926043025493</v>
      </c>
      <c r="E68" s="235">
        <v>0.47803231720186101</v>
      </c>
      <c r="F68" s="235">
        <v>0.48589286649979352</v>
      </c>
      <c r="G68" s="235">
        <v>0.49362415397064419</v>
      </c>
      <c r="H68" s="235">
        <v>0.50118399835640604</v>
      </c>
      <c r="I68" s="235">
        <v>0.50874669621471413</v>
      </c>
      <c r="J68" s="235">
        <v>0.51624182408724439</v>
      </c>
      <c r="K68" s="235">
        <v>0.52367542054378968</v>
      </c>
      <c r="L68" s="235">
        <v>0.53103669119619312</v>
      </c>
      <c r="M68" s="235">
        <v>0.53836714950199194</v>
      </c>
      <c r="N68" s="235">
        <v>0.54576625677047752</v>
      </c>
      <c r="O68" s="235">
        <v>0.55327599100599667</v>
      </c>
      <c r="P68" s="235">
        <v>0.56099637040707873</v>
      </c>
      <c r="Q68" s="235">
        <v>0.56902614752787728</v>
      </c>
      <c r="R68" s="235">
        <v>0.5774639074798672</v>
      </c>
      <c r="S68" s="235">
        <v>0.58621746501586769</v>
      </c>
      <c r="T68" s="235">
        <v>0.59536964864194886</v>
      </c>
      <c r="U68" s="235">
        <v>0.60496705120818417</v>
      </c>
      <c r="V68" s="235">
        <v>0.61505632000640187</v>
      </c>
      <c r="W68" s="235">
        <v>0.62565941905926337</v>
      </c>
      <c r="X68" s="235">
        <v>0.6367605498806671</v>
      </c>
      <c r="Y68" s="235">
        <v>0.64835274798348519</v>
      </c>
      <c r="Z68" s="235">
        <v>0.66043136476558018</v>
      </c>
      <c r="AA68" s="235">
        <v>0.67303694077918219</v>
      </c>
      <c r="AB68" s="235">
        <v>0.68721042982555447</v>
      </c>
      <c r="AD68" s="236">
        <v>21</v>
      </c>
      <c r="AE68" s="235">
        <v>0.36672859926215212</v>
      </c>
      <c r="AF68" s="235">
        <v>0.36925287853938937</v>
      </c>
      <c r="AG68" s="235">
        <v>0.37180402414240443</v>
      </c>
      <c r="AH68" s="235">
        <v>0.37436104607264459</v>
      </c>
      <c r="AI68" s="235">
        <v>0.37694281604044655</v>
      </c>
      <c r="AJ68" s="235">
        <v>0.37953267814030023</v>
      </c>
      <c r="AK68" s="235">
        <v>0.38231335309880948</v>
      </c>
      <c r="AL68" s="235">
        <v>0.38527917968254849</v>
      </c>
      <c r="AM68" s="235">
        <v>0.38843654946821216</v>
      </c>
      <c r="AN68" s="235">
        <v>0.39177516451370265</v>
      </c>
      <c r="AO68" s="235">
        <v>0.39528430678273718</v>
      </c>
      <c r="AP68" s="235">
        <v>0.39901199598852571</v>
      </c>
      <c r="AQ68" s="235">
        <v>0.40294734497992352</v>
      </c>
      <c r="AR68" s="235">
        <v>0.40711893361342644</v>
      </c>
      <c r="AS68" s="235">
        <v>0.4115588502723454</v>
      </c>
      <c r="AT68" s="235">
        <v>0.41631861115965452</v>
      </c>
      <c r="AU68" s="235">
        <v>0.42130631368288984</v>
      </c>
      <c r="AV68" s="235">
        <v>0.42658655741097917</v>
      </c>
      <c r="AW68" s="235">
        <v>0.43217983012887823</v>
      </c>
      <c r="AX68" s="235">
        <v>0.43812866202598105</v>
      </c>
      <c r="AY68" s="235">
        <v>0.44445454573994447</v>
      </c>
      <c r="AZ68" s="235">
        <v>0.45114906773389418</v>
      </c>
      <c r="BA68" s="235">
        <v>0.45821982440496434</v>
      </c>
      <c r="BB68" s="235">
        <v>0.46567226491631691</v>
      </c>
      <c r="BC68" s="235">
        <v>0.47354613336133677</v>
      </c>
      <c r="BD68" s="235">
        <v>0.48246332306242068</v>
      </c>
    </row>
    <row r="69" spans="2:56">
      <c r="B69" s="236">
        <v>22</v>
      </c>
      <c r="C69" s="235">
        <v>0.47857354037836813</v>
      </c>
      <c r="D69" s="235">
        <v>0.48670466948597524</v>
      </c>
      <c r="E69" s="235">
        <v>0.49470863767591705</v>
      </c>
      <c r="F69" s="235">
        <v>0.50256410491480807</v>
      </c>
      <c r="G69" s="235">
        <v>0.51022967793743146</v>
      </c>
      <c r="H69" s="235">
        <v>0.5179054311919109</v>
      </c>
      <c r="I69" s="235">
        <v>0.52551172953227465</v>
      </c>
      <c r="J69" s="235">
        <v>0.53305580526730711</v>
      </c>
      <c r="K69" s="235">
        <v>0.54052610922555466</v>
      </c>
      <c r="L69" s="235">
        <v>0.54796824255108467</v>
      </c>
      <c r="M69" s="235">
        <v>0.55548979817613919</v>
      </c>
      <c r="N69" s="235">
        <v>0.56313467581977172</v>
      </c>
      <c r="O69" s="235">
        <v>0.57100905011200564</v>
      </c>
      <c r="P69" s="235">
        <v>0.57921682002205033</v>
      </c>
      <c r="Q69" s="235">
        <v>0.58786106014443684</v>
      </c>
      <c r="R69" s="235">
        <v>0.59684050134265831</v>
      </c>
      <c r="S69" s="235">
        <v>0.60624191741056288</v>
      </c>
      <c r="T69" s="235">
        <v>0.61611313612229079</v>
      </c>
      <c r="U69" s="235">
        <v>0.6265020327771168</v>
      </c>
      <c r="V69" s="235">
        <v>0.63743029947364016</v>
      </c>
      <c r="W69" s="235">
        <v>0.64887979612472835</v>
      </c>
      <c r="X69" s="235">
        <v>0.66084207349467072</v>
      </c>
      <c r="Y69" s="235">
        <v>0.67331136512784107</v>
      </c>
      <c r="Z69" s="235">
        <v>0.68632976932584999</v>
      </c>
      <c r="AA69" s="235">
        <v>0.70099369990686589</v>
      </c>
      <c r="AB69" s="235">
        <v>0.71618259023682085</v>
      </c>
      <c r="AD69" s="236">
        <v>22</v>
      </c>
      <c r="AE69" s="235">
        <v>0.37180852696957301</v>
      </c>
      <c r="AF69" s="235">
        <v>0.37443699207386955</v>
      </c>
      <c r="AG69" s="235">
        <v>0.37706238291350086</v>
      </c>
      <c r="AH69" s="235">
        <v>0.37970982513633439</v>
      </c>
      <c r="AI69" s="235">
        <v>0.38236170291906518</v>
      </c>
      <c r="AJ69" s="235">
        <v>0.38522351754350737</v>
      </c>
      <c r="AK69" s="235">
        <v>0.3882847931023381</v>
      </c>
      <c r="AL69" s="235">
        <v>0.3915499127227649</v>
      </c>
      <c r="AM69" s="235">
        <v>0.39500565968578977</v>
      </c>
      <c r="AN69" s="235">
        <v>0.39863915652163695</v>
      </c>
      <c r="AO69" s="235">
        <v>0.40250175464239379</v>
      </c>
      <c r="AP69" s="235">
        <v>0.40658057265624653</v>
      </c>
      <c r="AQ69" s="235">
        <v>0.41090565338410256</v>
      </c>
      <c r="AR69" s="235">
        <v>0.41551061059344641</v>
      </c>
      <c r="AS69" s="235">
        <v>0.42044967543055428</v>
      </c>
      <c r="AT69" s="235">
        <v>0.42562360000525906</v>
      </c>
      <c r="AU69" s="235">
        <v>0.43110097597046726</v>
      </c>
      <c r="AV69" s="235">
        <v>0.43690300099334251</v>
      </c>
      <c r="AW69" s="235">
        <v>0.44307423212416219</v>
      </c>
      <c r="AX69" s="235">
        <v>0.44963675253745838</v>
      </c>
      <c r="AY69" s="235">
        <v>0.4565809953202441</v>
      </c>
      <c r="AZ69" s="235">
        <v>0.46391448365914861</v>
      </c>
      <c r="BA69" s="235">
        <v>0.47164252776166771</v>
      </c>
      <c r="BB69" s="235">
        <v>0.47980664422988029</v>
      </c>
      <c r="BC69" s="235">
        <v>0.48906116716885428</v>
      </c>
      <c r="BD69" s="235">
        <v>0.49879128224511349</v>
      </c>
    </row>
    <row r="70" spans="2:56">
      <c r="B70" s="236">
        <v>23</v>
      </c>
      <c r="C70" s="235">
        <v>0.49558396149550754</v>
      </c>
      <c r="D70" s="235">
        <v>0.50370726861542792</v>
      </c>
      <c r="E70" s="235">
        <v>0.51166438617030385</v>
      </c>
      <c r="F70" s="235">
        <v>0.51941432201078808</v>
      </c>
      <c r="G70" s="235">
        <v>0.52718832870025145</v>
      </c>
      <c r="H70" s="235">
        <v>0.53489374603607864</v>
      </c>
      <c r="I70" s="235">
        <v>0.54253848129497728</v>
      </c>
      <c r="J70" s="235">
        <v>0.55010955534588313</v>
      </c>
      <c r="K70" s="235">
        <v>0.5576569500460774</v>
      </c>
      <c r="L70" s="235">
        <v>0.56529719972403314</v>
      </c>
      <c r="M70" s="235">
        <v>0.57307588299659873</v>
      </c>
      <c r="N70" s="235">
        <v>0.5811057014438189</v>
      </c>
      <c r="O70" s="235">
        <v>0.58949587440552143</v>
      </c>
      <c r="P70" s="235">
        <v>0.59835403821717703</v>
      </c>
      <c r="Q70" s="235">
        <v>0.60756841459178557</v>
      </c>
      <c r="R70" s="235">
        <v>0.6172299389977921</v>
      </c>
      <c r="S70" s="235">
        <v>0.62738758728398336</v>
      </c>
      <c r="T70" s="235">
        <v>0.63809039707484638</v>
      </c>
      <c r="U70" s="235">
        <v>0.64935960136819748</v>
      </c>
      <c r="V70" s="235">
        <v>0.66117438116473448</v>
      </c>
      <c r="W70" s="235">
        <v>0.67352459232934025</v>
      </c>
      <c r="X70" s="235">
        <v>0.68640320393398047</v>
      </c>
      <c r="Y70" s="235">
        <v>0.69985396453923943</v>
      </c>
      <c r="Z70" s="235">
        <v>0.71503305658976113</v>
      </c>
      <c r="AA70" s="235">
        <v>0.73075518586118748</v>
      </c>
      <c r="AB70" s="235">
        <v>0.74699866725470287</v>
      </c>
      <c r="AD70" s="236">
        <v>23</v>
      </c>
      <c r="AE70" s="235">
        <v>0.37717417380335455</v>
      </c>
      <c r="AF70" s="235">
        <v>0.37986273553895916</v>
      </c>
      <c r="AG70" s="235">
        <v>0.38257143525833331</v>
      </c>
      <c r="AH70" s="235">
        <v>0.38528116748947572</v>
      </c>
      <c r="AI70" s="235">
        <v>0.38822524251602586</v>
      </c>
      <c r="AJ70" s="235">
        <v>0.39138583950745709</v>
      </c>
      <c r="AK70" s="235">
        <v>0.39476423650142378</v>
      </c>
      <c r="AL70" s="235">
        <v>0.39834341245253363</v>
      </c>
      <c r="AM70" s="235">
        <v>0.40210783406942019</v>
      </c>
      <c r="AN70" s="235">
        <v>0.40611262882884069</v>
      </c>
      <c r="AO70" s="235">
        <v>0.4103425263934673</v>
      </c>
      <c r="AP70" s="235">
        <v>0.41482917864070068</v>
      </c>
      <c r="AQ70" s="235">
        <v>0.41960784742345064</v>
      </c>
      <c r="AR70" s="235">
        <v>0.42473571454947889</v>
      </c>
      <c r="AS70" s="235">
        <v>0.43010528099978751</v>
      </c>
      <c r="AT70" s="235">
        <v>0.43578957589458667</v>
      </c>
      <c r="AU70" s="235">
        <v>0.44181054796725183</v>
      </c>
      <c r="AV70" s="235">
        <v>0.44821494273057372</v>
      </c>
      <c r="AW70" s="235">
        <v>0.45502544050327898</v>
      </c>
      <c r="AX70" s="235">
        <v>0.46223117545303116</v>
      </c>
      <c r="AY70" s="235">
        <v>0.46983956698324503</v>
      </c>
      <c r="AZ70" s="235">
        <v>0.47785575643934258</v>
      </c>
      <c r="BA70" s="235">
        <v>0.48632316059228431</v>
      </c>
      <c r="BB70" s="235">
        <v>0.49593102665156885</v>
      </c>
      <c r="BC70" s="235">
        <v>0.50602939354980003</v>
      </c>
      <c r="BD70" s="235">
        <v>0.51662207421482154</v>
      </c>
    </row>
    <row r="71" spans="2:56">
      <c r="B71" s="236">
        <v>24</v>
      </c>
      <c r="C71" s="235">
        <v>0.51283723510288504</v>
      </c>
      <c r="D71" s="235">
        <v>0.52086786225738746</v>
      </c>
      <c r="E71" s="235">
        <v>0.528677243055792</v>
      </c>
      <c r="F71" s="235">
        <v>0.53653446228152513</v>
      </c>
      <c r="G71" s="235">
        <v>0.54432764584555793</v>
      </c>
      <c r="H71" s="235">
        <v>0.55206442069128747</v>
      </c>
      <c r="I71" s="235">
        <v>0.55972938208662526</v>
      </c>
      <c r="J71" s="235">
        <v>0.56737721428162791</v>
      </c>
      <c r="K71" s="235">
        <v>0.57513434218210857</v>
      </c>
      <c r="L71" s="235">
        <v>0.58304765434703532</v>
      </c>
      <c r="M71" s="235">
        <v>0.59123678030193061</v>
      </c>
      <c r="N71" s="235">
        <v>0.59981641983658529</v>
      </c>
      <c r="O71" s="235">
        <v>0.60889881489857811</v>
      </c>
      <c r="P71" s="235">
        <v>0.618359980370638</v>
      </c>
      <c r="Q71" s="235">
        <v>0.62829527479792302</v>
      </c>
      <c r="R71" s="235">
        <v>0.63875472580764736</v>
      </c>
      <c r="S71" s="235">
        <v>0.64978846323546391</v>
      </c>
      <c r="T71" s="235">
        <v>0.66141705367743753</v>
      </c>
      <c r="U71" s="235">
        <v>0.67361662568798497</v>
      </c>
      <c r="V71" s="235">
        <v>0.68637511596562994</v>
      </c>
      <c r="W71" s="235">
        <v>0.69968407840422786</v>
      </c>
      <c r="X71" s="235">
        <v>0.71358902890747133</v>
      </c>
      <c r="Y71" s="235">
        <v>0.72931072301141686</v>
      </c>
      <c r="Z71" s="235">
        <v>0.74559362014795627</v>
      </c>
      <c r="AA71" s="235">
        <v>0.76241481790452592</v>
      </c>
      <c r="AB71" s="235">
        <v>0.77974512891423897</v>
      </c>
      <c r="AD71" s="236">
        <v>24</v>
      </c>
      <c r="AE71" s="235">
        <v>0.38276628682767572</v>
      </c>
      <c r="AF71" s="235">
        <v>0.3855280444075263</v>
      </c>
      <c r="AG71" s="235">
        <v>0.38828886470034785</v>
      </c>
      <c r="AH71" s="235">
        <v>0.39131633920769265</v>
      </c>
      <c r="AI71" s="235">
        <v>0.39458105420500494</v>
      </c>
      <c r="AJ71" s="235">
        <v>0.39807948552027023</v>
      </c>
      <c r="AK71" s="235">
        <v>0.4017895976848978</v>
      </c>
      <c r="AL71" s="235">
        <v>0.40569258614437842</v>
      </c>
      <c r="AM71" s="235">
        <v>0.40984793366009692</v>
      </c>
      <c r="AN71" s="235">
        <v>0.41423750268946552</v>
      </c>
      <c r="AO71" s="235">
        <v>0.41889474727791037</v>
      </c>
      <c r="AP71" s="235">
        <v>0.42385673101806443</v>
      </c>
      <c r="AQ71" s="235">
        <v>0.42918386585587315</v>
      </c>
      <c r="AR71" s="235">
        <v>0.43475933922238919</v>
      </c>
      <c r="AS71" s="235">
        <v>0.44066115327243383</v>
      </c>
      <c r="AT71" s="235">
        <v>0.44691206047695592</v>
      </c>
      <c r="AU71" s="235">
        <v>0.4535611830604771</v>
      </c>
      <c r="AV71" s="235">
        <v>0.46063180579059632</v>
      </c>
      <c r="AW71" s="235">
        <v>0.46811159907330008</v>
      </c>
      <c r="AX71" s="235">
        <v>0.47600784635919247</v>
      </c>
      <c r="AY71" s="235">
        <v>0.48432548901576528</v>
      </c>
      <c r="AZ71" s="235">
        <v>0.49310998902443942</v>
      </c>
      <c r="BA71" s="235">
        <v>0.50308825693500625</v>
      </c>
      <c r="BB71" s="235">
        <v>0.51357220819847504</v>
      </c>
      <c r="BC71" s="235">
        <v>0.52456560114625184</v>
      </c>
      <c r="BD71" s="235">
        <v>0.53606557528622711</v>
      </c>
    </row>
    <row r="72" spans="2:56">
      <c r="B72" s="236">
        <v>25</v>
      </c>
      <c r="C72" s="235">
        <v>0.53007791376713209</v>
      </c>
      <c r="D72" s="235">
        <v>0.53792247815813077</v>
      </c>
      <c r="E72" s="235">
        <v>0.54585252743618839</v>
      </c>
      <c r="F72" s="235">
        <v>0.55372696336757632</v>
      </c>
      <c r="G72" s="235">
        <v>0.56155179913384545</v>
      </c>
      <c r="H72" s="235">
        <v>0.56930796976798692</v>
      </c>
      <c r="I72" s="235">
        <v>0.57705539098326841</v>
      </c>
      <c r="J72" s="235">
        <v>0.58493162285737998</v>
      </c>
      <c r="K72" s="235">
        <v>0.5929843951065995</v>
      </c>
      <c r="L72" s="235">
        <v>0.6013407601539017</v>
      </c>
      <c r="M72" s="235">
        <v>0.61012107915005431</v>
      </c>
      <c r="N72" s="235">
        <v>0.61944223753843186</v>
      </c>
      <c r="O72" s="235">
        <v>0.62916603310357433</v>
      </c>
      <c r="P72" s="235">
        <v>0.63939259309735696</v>
      </c>
      <c r="Q72" s="235">
        <v>0.6501729107016001</v>
      </c>
      <c r="R72" s="235">
        <v>0.66155815004539298</v>
      </c>
      <c r="S72" s="235">
        <v>0.67356799439207005</v>
      </c>
      <c r="T72" s="235">
        <v>0.68617511578417334</v>
      </c>
      <c r="U72" s="235">
        <v>0.69936530192172508</v>
      </c>
      <c r="V72" s="235">
        <v>0.71312854553154703</v>
      </c>
      <c r="W72" s="235">
        <v>0.72751228349054042</v>
      </c>
      <c r="X72" s="235">
        <v>0.74380722694073542</v>
      </c>
      <c r="Y72" s="235">
        <v>0.76068140504762571</v>
      </c>
      <c r="Z72" s="235">
        <v>0.77811068466313482</v>
      </c>
      <c r="AA72" s="235">
        <v>0.79606445122107161</v>
      </c>
      <c r="AB72" s="235">
        <v>0.81452761057048528</v>
      </c>
      <c r="AD72" s="236">
        <v>25</v>
      </c>
      <c r="AE72" s="235">
        <v>0.38854829658106121</v>
      </c>
      <c r="AF72" s="235">
        <v>0.39135397264132804</v>
      </c>
      <c r="AG72" s="235">
        <v>0.39446974117295786</v>
      </c>
      <c r="AH72" s="235">
        <v>0.39784754678663925</v>
      </c>
      <c r="AI72" s="235">
        <v>0.40147666035198293</v>
      </c>
      <c r="AJ72" s="235">
        <v>0.40532854462269524</v>
      </c>
      <c r="AK72" s="235">
        <v>0.40938049410217087</v>
      </c>
      <c r="AL72" s="235">
        <v>0.41369721541911242</v>
      </c>
      <c r="AM72" s="235">
        <v>0.41825718178106225</v>
      </c>
      <c r="AN72" s="235">
        <v>0.42309595524330124</v>
      </c>
      <c r="AO72" s="235">
        <v>0.42825262964817151</v>
      </c>
      <c r="AP72" s="235">
        <v>0.43379120644641289</v>
      </c>
      <c r="AQ72" s="235">
        <v>0.43958432099850647</v>
      </c>
      <c r="AR72" s="235">
        <v>0.44571561390712172</v>
      </c>
      <c r="AS72" s="235">
        <v>0.45220872028853987</v>
      </c>
      <c r="AT72" s="235">
        <v>0.45911536880783077</v>
      </c>
      <c r="AU72" s="235">
        <v>0.4664594637499177</v>
      </c>
      <c r="AV72" s="235">
        <v>0.47422702976487069</v>
      </c>
      <c r="AW72" s="235">
        <v>0.48242518543852958</v>
      </c>
      <c r="AX72" s="235">
        <v>0.49105864394497745</v>
      </c>
      <c r="AY72" s="235">
        <v>0.50017508133022559</v>
      </c>
      <c r="AZ72" s="235">
        <v>0.5105421451674006</v>
      </c>
      <c r="BA72" s="235">
        <v>0.52143028554299453</v>
      </c>
      <c r="BB72" s="235">
        <v>0.5328432182827274</v>
      </c>
      <c r="BC72" s="235">
        <v>0.54477773809726271</v>
      </c>
      <c r="BD72" s="235">
        <v>0.55723556366414517</v>
      </c>
    </row>
    <row r="73" spans="2:56">
      <c r="B73" s="236">
        <v>26</v>
      </c>
      <c r="C73" s="235">
        <v>0.54698360842906479</v>
      </c>
      <c r="D73" s="235">
        <v>0.55499560898462696</v>
      </c>
      <c r="E73" s="235">
        <v>0.56296032748762492</v>
      </c>
      <c r="F73" s="235">
        <v>0.57088181533492255</v>
      </c>
      <c r="G73" s="235">
        <v>0.57873669305792996</v>
      </c>
      <c r="H73" s="235">
        <v>0.58659151435831447</v>
      </c>
      <c r="I73" s="235">
        <v>0.59459697279891943</v>
      </c>
      <c r="J73" s="235">
        <v>0.60280124446489147</v>
      </c>
      <c r="K73" s="235">
        <v>0.61133957346645518</v>
      </c>
      <c r="L73" s="235">
        <v>0.62033829163801202</v>
      </c>
      <c r="M73" s="235">
        <v>0.62991903155658535</v>
      </c>
      <c r="N73" s="235">
        <v>0.63992702838952409</v>
      </c>
      <c r="O73" s="235">
        <v>0.65046768386252229</v>
      </c>
      <c r="P73" s="235">
        <v>0.6615929231618487</v>
      </c>
      <c r="Q73" s="235">
        <v>0.67335493308034566</v>
      </c>
      <c r="R73" s="235">
        <v>0.68577230992481231</v>
      </c>
      <c r="S73" s="235">
        <v>0.69881384925710666</v>
      </c>
      <c r="T73" s="235">
        <v>0.71246297089221489</v>
      </c>
      <c r="U73" s="235">
        <v>0.72670798055057917</v>
      </c>
      <c r="V73" s="235">
        <v>0.74159844440818168</v>
      </c>
      <c r="W73" s="235">
        <v>0.75850109106965313</v>
      </c>
      <c r="X73" s="235">
        <v>0.7760005660783682</v>
      </c>
      <c r="Y73" s="235">
        <v>0.79407152682129833</v>
      </c>
      <c r="Z73" s="235">
        <v>0.81268193507363506</v>
      </c>
      <c r="AA73" s="235">
        <v>0.83181627015999793</v>
      </c>
      <c r="AB73" s="235">
        <v>0.85145207400507661</v>
      </c>
      <c r="AD73" s="236">
        <v>26</v>
      </c>
      <c r="AE73" s="235">
        <v>0.39442393795649477</v>
      </c>
      <c r="AF73" s="235">
        <v>0.39764278259640912</v>
      </c>
      <c r="AG73" s="235">
        <v>0.40115144718583745</v>
      </c>
      <c r="AH73" s="235">
        <v>0.40492910358742967</v>
      </c>
      <c r="AI73" s="235">
        <v>0.40893925763165928</v>
      </c>
      <c r="AJ73" s="235">
        <v>0.41315494984620088</v>
      </c>
      <c r="AK73" s="235">
        <v>0.41764756416357252</v>
      </c>
      <c r="AL73" s="235">
        <v>0.42239170467310011</v>
      </c>
      <c r="AM73" s="235">
        <v>0.42742556767293155</v>
      </c>
      <c r="AN73" s="235">
        <v>0.43279064670058726</v>
      </c>
      <c r="AO73" s="235">
        <v>0.43855502177328215</v>
      </c>
      <c r="AP73" s="235">
        <v>0.44457933493377455</v>
      </c>
      <c r="AQ73" s="235">
        <v>0.4509537120993774</v>
      </c>
      <c r="AR73" s="235">
        <v>0.45770279330160657</v>
      </c>
      <c r="AS73" s="235">
        <v>0.46488120158420937</v>
      </c>
      <c r="AT73" s="235">
        <v>0.4725134902290265</v>
      </c>
      <c r="AU73" s="235">
        <v>0.48058383962440954</v>
      </c>
      <c r="AV73" s="235">
        <v>0.48909918207395625</v>
      </c>
      <c r="AW73" s="235">
        <v>0.49806398068204982</v>
      </c>
      <c r="AX73" s="235">
        <v>0.50752832458188679</v>
      </c>
      <c r="AY73" s="235">
        <v>0.51830404876837055</v>
      </c>
      <c r="AZ73" s="235">
        <v>0.52961637017680052</v>
      </c>
      <c r="BA73" s="235">
        <v>0.54146898607272576</v>
      </c>
      <c r="BB73" s="235">
        <v>0.55385834565425929</v>
      </c>
      <c r="BC73" s="235">
        <v>0.56678615730386417</v>
      </c>
      <c r="BD73" s="235">
        <v>0.58022768181895756</v>
      </c>
    </row>
    <row r="74" spans="2:56">
      <c r="B74" s="236">
        <v>27</v>
      </c>
      <c r="C74" s="235">
        <v>0.5639453356346682</v>
      </c>
      <c r="D74" s="235">
        <v>0.57201698995630179</v>
      </c>
      <c r="E74" s="235">
        <v>0.58004896641635151</v>
      </c>
      <c r="F74" s="235">
        <v>0.58801356342944289</v>
      </c>
      <c r="G74" s="235">
        <v>0.59598642549235703</v>
      </c>
      <c r="H74" s="235">
        <v>0.60413418348879233</v>
      </c>
      <c r="I74" s="235">
        <v>0.61250492499203335</v>
      </c>
      <c r="J74" s="235">
        <v>0.6212430523345398</v>
      </c>
      <c r="K74" s="235">
        <v>0.63048120843613953</v>
      </c>
      <c r="L74" s="235">
        <v>0.64034585506520658</v>
      </c>
      <c r="M74" s="235">
        <v>0.6506628132065857</v>
      </c>
      <c r="N74" s="235">
        <v>0.6615434206304186</v>
      </c>
      <c r="O74" s="235">
        <v>0.67304052510952372</v>
      </c>
      <c r="P74" s="235">
        <v>0.68520734718553433</v>
      </c>
      <c r="Q74" s="235">
        <v>0.69806118039106491</v>
      </c>
      <c r="R74" s="235">
        <v>0.71156648173944714</v>
      </c>
      <c r="S74" s="235">
        <v>0.72570407913389157</v>
      </c>
      <c r="T74" s="235">
        <v>0.74046047412658522</v>
      </c>
      <c r="U74" s="235">
        <v>0.75588762176138424</v>
      </c>
      <c r="V74" s="235">
        <v>0.77343511047611191</v>
      </c>
      <c r="W74" s="235">
        <v>0.79159633351064251</v>
      </c>
      <c r="X74" s="235">
        <v>0.8103447942584886</v>
      </c>
      <c r="Y74" s="235">
        <v>0.82964706164522251</v>
      </c>
      <c r="Z74" s="235">
        <v>0.84948729385481869</v>
      </c>
      <c r="AA74" s="235">
        <v>0.86984238402286307</v>
      </c>
      <c r="AB74" s="235">
        <v>0.89065474070030215</v>
      </c>
      <c r="AD74" s="236">
        <v>27</v>
      </c>
      <c r="AE74" s="235">
        <v>0.4008297159329729</v>
      </c>
      <c r="AF74" s="235">
        <v>0.4044963685190186</v>
      </c>
      <c r="AG74" s="235">
        <v>0.40844714714360303</v>
      </c>
      <c r="AH74" s="235">
        <v>0.41263659095725069</v>
      </c>
      <c r="AI74" s="235">
        <v>0.4170337482981662</v>
      </c>
      <c r="AJ74" s="235">
        <v>0.42171904487236073</v>
      </c>
      <c r="AK74" s="235">
        <v>0.4266627882032345</v>
      </c>
      <c r="AL74" s="235">
        <v>0.43190662168767208</v>
      </c>
      <c r="AM74" s="235">
        <v>0.43749497035140017</v>
      </c>
      <c r="AN74" s="235">
        <v>0.44350062363216003</v>
      </c>
      <c r="AO74" s="235">
        <v>0.44977050650736283</v>
      </c>
      <c r="AP74" s="235">
        <v>0.45640229474473554</v>
      </c>
      <c r="AQ74" s="235">
        <v>0.46342179413546891</v>
      </c>
      <c r="AR74" s="235">
        <v>0.47088686783182493</v>
      </c>
      <c r="AS74" s="235">
        <v>0.47882275246425032</v>
      </c>
      <c r="AT74" s="235">
        <v>0.48721155533180177</v>
      </c>
      <c r="AU74" s="235">
        <v>0.49606000193187266</v>
      </c>
      <c r="AV74" s="235">
        <v>0.50537228415500479</v>
      </c>
      <c r="AW74" s="235">
        <v>0.51520113293934167</v>
      </c>
      <c r="AX74" s="235">
        <v>0.52640645526304319</v>
      </c>
      <c r="AY74" s="235">
        <v>0.53816396106387909</v>
      </c>
      <c r="AZ74" s="235">
        <v>0.55047736432088235</v>
      </c>
      <c r="BA74" s="235">
        <v>0.56334277499578589</v>
      </c>
      <c r="BB74" s="235">
        <v>0.57676192416960426</v>
      </c>
      <c r="BC74" s="235">
        <v>0.59070872958522391</v>
      </c>
      <c r="BD74" s="235">
        <v>0.60515368747534048</v>
      </c>
    </row>
    <row r="75" spans="2:56">
      <c r="B75" s="236">
        <v>28</v>
      </c>
      <c r="C75" s="235">
        <v>0.58094595023078266</v>
      </c>
      <c r="D75" s="235">
        <v>0.58910195902423768</v>
      </c>
      <c r="E75" s="235">
        <v>0.59718586677084728</v>
      </c>
      <c r="F75" s="235">
        <v>0.60528620478726969</v>
      </c>
      <c r="G75" s="235">
        <v>0.61358920862109834</v>
      </c>
      <c r="H75" s="235">
        <v>0.6221418589309714</v>
      </c>
      <c r="I75" s="235">
        <v>0.63109878488153504</v>
      </c>
      <c r="J75" s="235">
        <v>0.64059919267560572</v>
      </c>
      <c r="K75" s="235">
        <v>0.65077433502794646</v>
      </c>
      <c r="L75" s="235">
        <v>0.66142705221760256</v>
      </c>
      <c r="M75" s="235">
        <v>0.67267545875643076</v>
      </c>
      <c r="N75" s="235">
        <v>0.68457332431581397</v>
      </c>
      <c r="O75" s="235">
        <v>0.69717492490552613</v>
      </c>
      <c r="P75" s="235">
        <v>0.71049600614350039</v>
      </c>
      <c r="Q75" s="235">
        <v>0.7244961625271179</v>
      </c>
      <c r="R75" s="235">
        <v>0.73915339243852141</v>
      </c>
      <c r="S75" s="235">
        <v>0.75445228058433866</v>
      </c>
      <c r="T75" s="235">
        <v>0.77044748602849689</v>
      </c>
      <c r="U75" s="235">
        <v>0.7886792106738566</v>
      </c>
      <c r="V75" s="235">
        <v>0.80754063762802297</v>
      </c>
      <c r="W75" s="235">
        <v>0.82700421176141159</v>
      </c>
      <c r="X75" s="235">
        <v>0.84703517106338422</v>
      </c>
      <c r="Y75" s="235">
        <v>0.86761749301496616</v>
      </c>
      <c r="Z75" s="235">
        <v>0.88872751925580395</v>
      </c>
      <c r="AA75" s="235">
        <v>0.9103052924717443</v>
      </c>
      <c r="AB75" s="235">
        <v>0.93231815924153583</v>
      </c>
      <c r="AD75" s="236">
        <v>28</v>
      </c>
      <c r="AE75" s="235">
        <v>0.40792393098110952</v>
      </c>
      <c r="AF75" s="235">
        <v>0.41207770491468515</v>
      </c>
      <c r="AG75" s="235">
        <v>0.4164697116553982</v>
      </c>
      <c r="AH75" s="235">
        <v>0.42106650791313383</v>
      </c>
      <c r="AI75" s="235">
        <v>0.4259613149827024</v>
      </c>
      <c r="AJ75" s="235">
        <v>0.43111971232590224</v>
      </c>
      <c r="AK75" s="235">
        <v>0.43658793915905991</v>
      </c>
      <c r="AL75" s="235">
        <v>0.44241403754834874</v>
      </c>
      <c r="AM75" s="235">
        <v>0.44867626675319899</v>
      </c>
      <c r="AN75" s="235">
        <v>0.45520569841196334</v>
      </c>
      <c r="AO75" s="235">
        <v>0.46210887842495313</v>
      </c>
      <c r="AP75" s="235">
        <v>0.46941296154525075</v>
      </c>
      <c r="AQ75" s="235">
        <v>0.4771794466880443</v>
      </c>
      <c r="AR75" s="235">
        <v>0.48543427518310933</v>
      </c>
      <c r="AS75" s="235">
        <v>0.49415720056837265</v>
      </c>
      <c r="AT75" s="235">
        <v>0.50335471093936579</v>
      </c>
      <c r="AU75" s="235">
        <v>0.51303069765517928</v>
      </c>
      <c r="AV75" s="235">
        <v>0.52324078987392175</v>
      </c>
      <c r="AW75" s="235">
        <v>0.53489735417803153</v>
      </c>
      <c r="AX75" s="235">
        <v>0.5471217140786534</v>
      </c>
      <c r="AY75" s="235">
        <v>0.5599176461158949</v>
      </c>
      <c r="AZ75" s="235">
        <v>0.5732809329810431</v>
      </c>
      <c r="BA75" s="235">
        <v>0.58721336940802804</v>
      </c>
      <c r="BB75" s="235">
        <v>0.60168746216094982</v>
      </c>
      <c r="BC75" s="235">
        <v>0.61667228276977037</v>
      </c>
      <c r="BD75" s="235">
        <v>0.63214422098928391</v>
      </c>
    </row>
    <row r="76" spans="2:56">
      <c r="B76" s="236">
        <v>29</v>
      </c>
      <c r="C76" s="235">
        <v>0.59805779369479728</v>
      </c>
      <c r="D76" s="235">
        <v>0.60627264073308207</v>
      </c>
      <c r="E76" s="235">
        <v>0.61451126815005408</v>
      </c>
      <c r="F76" s="235">
        <v>0.62298480653238397</v>
      </c>
      <c r="G76" s="235">
        <v>0.63173745094538902</v>
      </c>
      <c r="H76" s="235">
        <v>0.64093535623390452</v>
      </c>
      <c r="I76" s="235">
        <v>0.65072446824726038</v>
      </c>
      <c r="J76" s="235">
        <v>0.66124066967644324</v>
      </c>
      <c r="K76" s="235">
        <v>0.67225935394962899</v>
      </c>
      <c r="L76" s="235">
        <v>0.68390655574674974</v>
      </c>
      <c r="M76" s="235">
        <v>0.6962370198910337</v>
      </c>
      <c r="N76" s="235">
        <v>0.70930614461640884</v>
      </c>
      <c r="O76" s="235">
        <v>0.72312787007616275</v>
      </c>
      <c r="P76" s="235">
        <v>0.73765634830994709</v>
      </c>
      <c r="Q76" s="235">
        <v>0.75286651184009479</v>
      </c>
      <c r="R76" s="235">
        <v>0.76874093583296488</v>
      </c>
      <c r="S76" s="235">
        <v>0.78533737641413015</v>
      </c>
      <c r="T76" s="235">
        <v>0.80429548792570216</v>
      </c>
      <c r="U76" s="235">
        <v>0.82389799197274649</v>
      </c>
      <c r="V76" s="235">
        <v>0.84411642835623801</v>
      </c>
      <c r="W76" s="235">
        <v>0.86491481082630139</v>
      </c>
      <c r="X76" s="235">
        <v>0.88627712384476531</v>
      </c>
      <c r="Y76" s="235">
        <v>0.90817929048334578</v>
      </c>
      <c r="Z76" s="235">
        <v>0.93055896173737818</v>
      </c>
      <c r="AA76" s="235">
        <v>0.95338278174209345</v>
      </c>
      <c r="AB76" s="235">
        <v>0.97662916191502414</v>
      </c>
      <c r="AD76" s="236">
        <v>29</v>
      </c>
      <c r="AE76" s="235">
        <v>0.41590532968597366</v>
      </c>
      <c r="AF76" s="235">
        <v>0.42052066030615942</v>
      </c>
      <c r="AG76" s="235">
        <v>0.42533128750606281</v>
      </c>
      <c r="AH76" s="235">
        <v>0.43044894148267054</v>
      </c>
      <c r="AI76" s="235">
        <v>0.43583373551897031</v>
      </c>
      <c r="AJ76" s="235">
        <v>0.44153794368657251</v>
      </c>
      <c r="AK76" s="235">
        <v>0.44761396920618762</v>
      </c>
      <c r="AL76" s="235">
        <v>0.45414635960854643</v>
      </c>
      <c r="AM76" s="235">
        <v>0.46094756799551956</v>
      </c>
      <c r="AN76" s="235">
        <v>0.46813462289440433</v>
      </c>
      <c r="AO76" s="235">
        <v>0.47573619807274292</v>
      </c>
      <c r="AP76" s="235">
        <v>0.48381785406457317</v>
      </c>
      <c r="AQ76" s="235">
        <v>0.49240621536061818</v>
      </c>
      <c r="AR76" s="235">
        <v>0.50147831733273862</v>
      </c>
      <c r="AS76" s="235">
        <v>0.51104035363859346</v>
      </c>
      <c r="AT76" s="235">
        <v>0.52109586489855497</v>
      </c>
      <c r="AU76" s="235">
        <v>0.53170365917011486</v>
      </c>
      <c r="AV76" s="235">
        <v>0.54383353722974537</v>
      </c>
      <c r="AW76" s="235">
        <v>0.55654682725013715</v>
      </c>
      <c r="AX76" s="235">
        <v>0.569847424346278</v>
      </c>
      <c r="AY76" s="235">
        <v>0.58373080047286807</v>
      </c>
      <c r="AZ76" s="235">
        <v>0.59819886233980246</v>
      </c>
      <c r="BA76" s="235">
        <v>0.61322263198903848</v>
      </c>
      <c r="BB76" s="235">
        <v>0.62876969301141439</v>
      </c>
      <c r="BC76" s="235">
        <v>0.64481549599336552</v>
      </c>
      <c r="BD76" s="235">
        <v>0.66134845777545315</v>
      </c>
    </row>
    <row r="77" spans="2:56">
      <c r="B77" s="236">
        <v>30</v>
      </c>
      <c r="C77" s="235">
        <v>0.6153422277574514</v>
      </c>
      <c r="D77" s="235">
        <v>0.62372451483359748</v>
      </c>
      <c r="E77" s="235">
        <v>0.63238190239235337</v>
      </c>
      <c r="F77" s="235">
        <v>0.64135219142690891</v>
      </c>
      <c r="G77" s="235">
        <v>0.65081428206598291</v>
      </c>
      <c r="H77" s="235">
        <v>0.66092065229653729</v>
      </c>
      <c r="I77" s="235">
        <v>0.67181131810954553</v>
      </c>
      <c r="J77" s="235">
        <v>0.68322845937435861</v>
      </c>
      <c r="K77" s="235">
        <v>0.6953075695267158</v>
      </c>
      <c r="L77" s="235">
        <v>0.70810447069646221</v>
      </c>
      <c r="M77" s="235">
        <v>0.72167578909865326</v>
      </c>
      <c r="N77" s="235">
        <v>0.73603337059539242</v>
      </c>
      <c r="O77" s="235">
        <v>0.75112526419130055</v>
      </c>
      <c r="P77" s="235">
        <v>0.76692309502084033</v>
      </c>
      <c r="Q77" s="235">
        <v>0.78340735484221979</v>
      </c>
      <c r="R77" s="235">
        <v>0.80063937847054323</v>
      </c>
      <c r="S77" s="235">
        <v>0.82036839797942773</v>
      </c>
      <c r="T77" s="235">
        <v>0.84075486024234303</v>
      </c>
      <c r="U77" s="235">
        <v>0.86176962471578222</v>
      </c>
      <c r="V77" s="235">
        <v>0.88337564125630841</v>
      </c>
      <c r="W77" s="235">
        <v>0.90555714409124344</v>
      </c>
      <c r="X77" s="235">
        <v>0.92828981115999654</v>
      </c>
      <c r="Y77" s="235">
        <v>0.95150889292494811</v>
      </c>
      <c r="Z77" s="235">
        <v>0.97518045528077268</v>
      </c>
      <c r="AA77" s="235">
        <v>0.99928299595563386</v>
      </c>
      <c r="AB77" s="235">
        <v>1.0238541863631483</v>
      </c>
      <c r="AD77" s="236">
        <v>30</v>
      </c>
      <c r="AE77" s="235">
        <v>0.42486906542887448</v>
      </c>
      <c r="AF77" s="235">
        <v>0.42990063496418296</v>
      </c>
      <c r="AG77" s="235">
        <v>0.43524903924937725</v>
      </c>
      <c r="AH77" s="235">
        <v>0.4408672931806657</v>
      </c>
      <c r="AI77" s="235">
        <v>0.44681537400366178</v>
      </c>
      <c r="AJ77" s="235">
        <v>0.45315071945046415</v>
      </c>
      <c r="AK77" s="235">
        <v>0.45996495938351006</v>
      </c>
      <c r="AL77" s="235">
        <v>0.46704825016150386</v>
      </c>
      <c r="AM77" s="235">
        <v>0.47453009451629102</v>
      </c>
      <c r="AN77" s="235">
        <v>0.48244081692174351</v>
      </c>
      <c r="AO77" s="235">
        <v>0.49085048867100722</v>
      </c>
      <c r="AP77" s="235">
        <v>0.4997863295217076</v>
      </c>
      <c r="AQ77" s="235">
        <v>0.50922218097059391</v>
      </c>
      <c r="AR77" s="235">
        <v>0.51916385005958587</v>
      </c>
      <c r="AS77" s="235">
        <v>0.529614449866051</v>
      </c>
      <c r="AT77" s="235">
        <v>0.54063627678089832</v>
      </c>
      <c r="AU77" s="235">
        <v>0.55326223838669231</v>
      </c>
      <c r="AV77" s="235">
        <v>0.56648718024354994</v>
      </c>
      <c r="AW77" s="235">
        <v>0.58031518803965787</v>
      </c>
      <c r="AX77" s="235">
        <v>0.59474144801019813</v>
      </c>
      <c r="AY77" s="235">
        <v>0.60976803827467962</v>
      </c>
      <c r="AZ77" s="235">
        <v>0.62536441772408535</v>
      </c>
      <c r="BA77" s="235">
        <v>0.64149661614829689</v>
      </c>
      <c r="BB77" s="235">
        <v>0.65813913125902745</v>
      </c>
      <c r="BC77" s="235">
        <v>0.67528021623175871</v>
      </c>
      <c r="BD77" s="235">
        <v>0.69296082707116269</v>
      </c>
    </row>
    <row r="78" spans="2:56">
      <c r="B78" s="236">
        <v>31</v>
      </c>
      <c r="C78" s="235">
        <v>0.63310658837779588</v>
      </c>
      <c r="D78" s="235">
        <v>0.64193916503515958</v>
      </c>
      <c r="E78" s="235">
        <v>0.65113091814054835</v>
      </c>
      <c r="F78" s="235">
        <v>0.66087211739485086</v>
      </c>
      <c r="G78" s="235">
        <v>0.67131964847343462</v>
      </c>
      <c r="H78" s="235">
        <v>0.68261592785744651</v>
      </c>
      <c r="I78" s="235">
        <v>0.69446193060630113</v>
      </c>
      <c r="J78" s="235">
        <v>0.70700449208513094</v>
      </c>
      <c r="K78" s="235">
        <v>0.72030052122763766</v>
      </c>
      <c r="L78" s="235">
        <v>0.73440791309096853</v>
      </c>
      <c r="M78" s="235">
        <v>0.74933600422657942</v>
      </c>
      <c r="N78" s="235">
        <v>0.76502591586828883</v>
      </c>
      <c r="O78" s="235">
        <v>0.78144567292445632</v>
      </c>
      <c r="P78" s="235">
        <v>0.79857359817489626</v>
      </c>
      <c r="Q78" s="235">
        <v>0.81647516599225167</v>
      </c>
      <c r="R78" s="235">
        <v>0.83702083078026857</v>
      </c>
      <c r="S78" s="235">
        <v>0.85823503478176788</v>
      </c>
      <c r="T78" s="235">
        <v>0.88008825980377803</v>
      </c>
      <c r="U78" s="235">
        <v>0.90254260826023436</v>
      </c>
      <c r="V78" s="235">
        <v>0.92558286434182258</v>
      </c>
      <c r="W78" s="235">
        <v>0.94918467442328791</v>
      </c>
      <c r="X78" s="235">
        <v>0.97328089265396811</v>
      </c>
      <c r="Y78" s="235">
        <v>0.99783715719039545</v>
      </c>
      <c r="Z78" s="235">
        <v>1.0228322346406156</v>
      </c>
      <c r="AA78" s="235">
        <v>1.0483072985179485</v>
      </c>
      <c r="AB78" s="235">
        <v>1.0742879871067328</v>
      </c>
      <c r="AD78" s="236">
        <v>31</v>
      </c>
      <c r="AE78" s="235">
        <v>0.43497533985348463</v>
      </c>
      <c r="AF78" s="235">
        <v>0.44053283325833348</v>
      </c>
      <c r="AG78" s="235">
        <v>0.44637013252949381</v>
      </c>
      <c r="AH78" s="235">
        <v>0.45255418043598211</v>
      </c>
      <c r="AI78" s="235">
        <v>0.45914645445632463</v>
      </c>
      <c r="AJ78" s="235">
        <v>0.46624549666521009</v>
      </c>
      <c r="AK78" s="235">
        <v>0.47361365406184802</v>
      </c>
      <c r="AL78" s="235">
        <v>0.48139509086962462</v>
      </c>
      <c r="AM78" s="235">
        <v>0.48962162018151645</v>
      </c>
      <c r="AN78" s="235">
        <v>0.49836813166906163</v>
      </c>
      <c r="AO78" s="235">
        <v>0.50766214135122434</v>
      </c>
      <c r="AP78" s="235">
        <v>0.51747359001881255</v>
      </c>
      <c r="AQ78" s="235">
        <v>0.52780769709349185</v>
      </c>
      <c r="AR78" s="235">
        <v>0.53866698929638523</v>
      </c>
      <c r="AS78" s="235">
        <v>0.55011755749339919</v>
      </c>
      <c r="AT78" s="235">
        <v>0.56326189533315174</v>
      </c>
      <c r="AU78" s="235">
        <v>0.57702078732987483</v>
      </c>
      <c r="AV78" s="235">
        <v>0.59139858633504916</v>
      </c>
      <c r="AW78" s="235">
        <v>0.60639021565284756</v>
      </c>
      <c r="AX78" s="235">
        <v>0.62199798688083707</v>
      </c>
      <c r="AY78" s="235">
        <v>0.63818970299853395</v>
      </c>
      <c r="AZ78" s="235">
        <v>0.65492976368375677</v>
      </c>
      <c r="BA78" s="235">
        <v>0.6721916971436952</v>
      </c>
      <c r="BB78" s="235">
        <v>0.6899636402395255</v>
      </c>
      <c r="BC78" s="235">
        <v>0.70828928523049151</v>
      </c>
      <c r="BD78" s="235">
        <v>0.72722458396489909</v>
      </c>
    </row>
    <row r="79" spans="2:56">
      <c r="B79" s="236">
        <v>32</v>
      </c>
      <c r="C79" s="235">
        <v>0.65136864734186317</v>
      </c>
      <c r="D79" s="235">
        <v>0.66082937493068394</v>
      </c>
      <c r="E79" s="235">
        <v>0.67090048603413233</v>
      </c>
      <c r="F79" s="235">
        <v>0.68174328149356755</v>
      </c>
      <c r="G79" s="235">
        <v>0.69350216091632544</v>
      </c>
      <c r="H79" s="235">
        <v>0.70582781456106169</v>
      </c>
      <c r="I79" s="235">
        <v>0.71888230463804059</v>
      </c>
      <c r="J79" s="235">
        <v>0.73272450248303767</v>
      </c>
      <c r="K79" s="235">
        <v>0.74741422011572256</v>
      </c>
      <c r="L79" s="235">
        <v>0.7629582060636364</v>
      </c>
      <c r="M79" s="235">
        <v>0.77928999393203313</v>
      </c>
      <c r="N79" s="235">
        <v>0.79637393929518407</v>
      </c>
      <c r="O79" s="235">
        <v>0.81418631834499866</v>
      </c>
      <c r="P79" s="235">
        <v>0.83279757616177852</v>
      </c>
      <c r="Q79" s="235">
        <v>0.85421300690684254</v>
      </c>
      <c r="R79" s="235">
        <v>0.87630507545776637</v>
      </c>
      <c r="S79" s="235">
        <v>0.8990443847564501</v>
      </c>
      <c r="T79" s="235">
        <v>0.92239255500367989</v>
      </c>
      <c r="U79" s="235">
        <v>0.94633535477784381</v>
      </c>
      <c r="V79" s="235">
        <v>0.97084871373119064</v>
      </c>
      <c r="W79" s="235">
        <v>0.99586315403251902</v>
      </c>
      <c r="X79" s="235">
        <v>1.0213441048265517</v>
      </c>
      <c r="Y79" s="235">
        <v>1.0472708461257205</v>
      </c>
      <c r="Z79" s="235">
        <v>1.0736885253303901</v>
      </c>
      <c r="AA79" s="235">
        <v>1.1006255610567572</v>
      </c>
      <c r="AB79" s="235">
        <v>1.1280528881812144</v>
      </c>
      <c r="AD79" s="236">
        <v>32</v>
      </c>
      <c r="AE79" s="235">
        <v>0.44606322055902881</v>
      </c>
      <c r="AF79" s="235">
        <v>0.45213049155353535</v>
      </c>
      <c r="AG79" s="235">
        <v>0.45856341882395363</v>
      </c>
      <c r="AH79" s="235">
        <v>0.46542784786591396</v>
      </c>
      <c r="AI79" s="235">
        <v>0.47283007307884312</v>
      </c>
      <c r="AJ79" s="235">
        <v>0.48049812172559792</v>
      </c>
      <c r="AK79" s="235">
        <v>0.48859447327390665</v>
      </c>
      <c r="AL79" s="235">
        <v>0.49715265737562658</v>
      </c>
      <c r="AM79" s="235">
        <v>0.50625306832354233</v>
      </c>
      <c r="AN79" s="235">
        <v>0.51592335981806881</v>
      </c>
      <c r="AO79" s="235">
        <v>0.52612888642572475</v>
      </c>
      <c r="AP79" s="235">
        <v>0.53687419002391645</v>
      </c>
      <c r="AQ79" s="235">
        <v>0.54816114460480558</v>
      </c>
      <c r="AR79" s="235">
        <v>0.56006009148009317</v>
      </c>
      <c r="AS79" s="235">
        <v>0.5737506870493968</v>
      </c>
      <c r="AT79" s="235">
        <v>0.58807083780646718</v>
      </c>
      <c r="AU79" s="235">
        <v>0.60302533525339808</v>
      </c>
      <c r="AV79" s="235">
        <v>0.61860893294764618</v>
      </c>
      <c r="AW79" s="235">
        <v>0.63482430149364699</v>
      </c>
      <c r="AX79" s="235">
        <v>0.65163752872088576</v>
      </c>
      <c r="AY79" s="235">
        <v>0.66901133828280968</v>
      </c>
      <c r="AZ79" s="235">
        <v>0.68691830508111174</v>
      </c>
      <c r="BA79" s="235">
        <v>0.70534653226076149</v>
      </c>
      <c r="BB79" s="235">
        <v>0.72434274384805786</v>
      </c>
      <c r="BC79" s="235">
        <v>0.74396634696232322</v>
      </c>
      <c r="BD79" s="235">
        <v>0.76424718345420073</v>
      </c>
    </row>
    <row r="80" spans="2:56">
      <c r="B80" s="236">
        <v>33</v>
      </c>
      <c r="C80" s="235">
        <v>0.67059738128883284</v>
      </c>
      <c r="D80" s="235">
        <v>0.68105115627771617</v>
      </c>
      <c r="E80" s="235">
        <v>0.69234613107694587</v>
      </c>
      <c r="F80" s="235">
        <v>0.70462779409143295</v>
      </c>
      <c r="G80" s="235">
        <v>0.71748431767640741</v>
      </c>
      <c r="H80" s="235">
        <v>0.73109887488443226</v>
      </c>
      <c r="I80" s="235">
        <v>0.74553362681382662</v>
      </c>
      <c r="J80" s="235">
        <v>0.76085119551973657</v>
      </c>
      <c r="K80" s="235">
        <v>0.77705566503549517</v>
      </c>
      <c r="L80" s="235">
        <v>0.79407219872674673</v>
      </c>
      <c r="M80" s="235">
        <v>0.81186144220061918</v>
      </c>
      <c r="N80" s="235">
        <v>0.8303978050502131</v>
      </c>
      <c r="O80" s="235">
        <v>0.84975770433819375</v>
      </c>
      <c r="P80" s="235">
        <v>0.87209716820306726</v>
      </c>
      <c r="Q80" s="235">
        <v>0.89511781793825329</v>
      </c>
      <c r="R80" s="235">
        <v>0.91879103946825258</v>
      </c>
      <c r="S80" s="235">
        <v>0.94307844904623928</v>
      </c>
      <c r="T80" s="235">
        <v>0.96796733644643396</v>
      </c>
      <c r="U80" s="235">
        <v>0.99343429871232825</v>
      </c>
      <c r="V80" s="235">
        <v>1.0194076168750812</v>
      </c>
      <c r="W80" s="235">
        <v>1.0458527710812935</v>
      </c>
      <c r="X80" s="235">
        <v>1.0727498374939703</v>
      </c>
      <c r="Y80" s="235">
        <v>1.1001484682346956</v>
      </c>
      <c r="Z80" s="235">
        <v>1.1280802360861293</v>
      </c>
      <c r="AA80" s="235">
        <v>1.1565157850366308</v>
      </c>
      <c r="AB80" s="235">
        <v>1.1854246414325227</v>
      </c>
      <c r="AD80" s="236">
        <v>33</v>
      </c>
      <c r="AE80" s="235">
        <v>0.45816280797537262</v>
      </c>
      <c r="AF80" s="235">
        <v>0.46485938035318991</v>
      </c>
      <c r="AG80" s="235">
        <v>0.47201348210281424</v>
      </c>
      <c r="AH80" s="235">
        <v>0.47974015212541871</v>
      </c>
      <c r="AI80" s="235">
        <v>0.48772422073025185</v>
      </c>
      <c r="AJ80" s="235">
        <v>0.496151766839317</v>
      </c>
      <c r="AK80" s="235">
        <v>0.50505836775237412</v>
      </c>
      <c r="AL80" s="235">
        <v>0.51453079229346854</v>
      </c>
      <c r="AM80" s="235">
        <v>0.52459660553336052</v>
      </c>
      <c r="AN80" s="235">
        <v>0.53521572892726366</v>
      </c>
      <c r="AO80" s="235">
        <v>0.54639193793576968</v>
      </c>
      <c r="AP80" s="235">
        <v>0.55812639274289033</v>
      </c>
      <c r="AQ80" s="235">
        <v>0.57049423782090336</v>
      </c>
      <c r="AR80" s="235">
        <v>0.58476113642931737</v>
      </c>
      <c r="AS80" s="235">
        <v>0.59967170395458802</v>
      </c>
      <c r="AT80" s="235">
        <v>0.61523141705854323</v>
      </c>
      <c r="AU80" s="235">
        <v>0.63143500240389172</v>
      </c>
      <c r="AV80" s="235">
        <v>0.64828566039798208</v>
      </c>
      <c r="AW80" s="235">
        <v>0.66574771777499675</v>
      </c>
      <c r="AX80" s="235">
        <v>0.68378218925457079</v>
      </c>
      <c r="AY80" s="235">
        <v>0.70236073122833032</v>
      </c>
      <c r="AZ80" s="235">
        <v>0.72147151930777775</v>
      </c>
      <c r="BA80" s="235">
        <v>0.74116464918872338</v>
      </c>
      <c r="BB80" s="235">
        <v>0.76150331625510737</v>
      </c>
      <c r="BC80" s="235">
        <v>0.78251929056126168</v>
      </c>
      <c r="BD80" s="235">
        <v>0.80426058042445658</v>
      </c>
    </row>
    <row r="81" spans="2:56">
      <c r="B81" s="236">
        <v>34</v>
      </c>
      <c r="C81" s="235">
        <v>0.69140755404970766</v>
      </c>
      <c r="D81" s="235">
        <v>0.70322520887325235</v>
      </c>
      <c r="E81" s="235">
        <v>0.71610092478004206</v>
      </c>
      <c r="F81" s="235">
        <v>0.72954447492045604</v>
      </c>
      <c r="G81" s="235">
        <v>0.74377004155227822</v>
      </c>
      <c r="H81" s="235">
        <v>0.75884544479178284</v>
      </c>
      <c r="I81" s="235">
        <v>0.77483755509249208</v>
      </c>
      <c r="J81" s="235">
        <v>0.79174783702664442</v>
      </c>
      <c r="K81" s="235">
        <v>0.8094922223687061</v>
      </c>
      <c r="L81" s="235">
        <v>0.82802770927659353</v>
      </c>
      <c r="M81" s="235">
        <v>0.84732714087567484</v>
      </c>
      <c r="N81" s="235">
        <v>0.86747415278314632</v>
      </c>
      <c r="O81" s="235">
        <v>0.89079423388887469</v>
      </c>
      <c r="P81" s="235">
        <v>0.91479568034080483</v>
      </c>
      <c r="Q81" s="235">
        <v>0.93945156210310132</v>
      </c>
      <c r="R81" s="235">
        <v>0.96472413368752286</v>
      </c>
      <c r="S81" s="235">
        <v>0.99060288448471634</v>
      </c>
      <c r="T81" s="235">
        <v>1.0170655583999322</v>
      </c>
      <c r="U81" s="235">
        <v>1.0440383267626547</v>
      </c>
      <c r="V81" s="235">
        <v>1.0714870362976154</v>
      </c>
      <c r="W81" s="235">
        <v>1.0993928918327001</v>
      </c>
      <c r="X81" s="235">
        <v>1.1278106532112881</v>
      </c>
      <c r="Y81" s="235">
        <v>1.1567754657893781</v>
      </c>
      <c r="Z81" s="235">
        <v>1.1862577794340223</v>
      </c>
      <c r="AA81" s="235">
        <v>1.2162268652909856</v>
      </c>
      <c r="AB81" s="235">
        <v>1.2466770361824426</v>
      </c>
      <c r="AD81" s="236">
        <v>34</v>
      </c>
      <c r="AE81" s="235">
        <v>0.47143485121669443</v>
      </c>
      <c r="AF81" s="235">
        <v>0.47890335928511812</v>
      </c>
      <c r="AG81" s="235">
        <v>0.4869824646288573</v>
      </c>
      <c r="AH81" s="235">
        <v>0.49530177687596078</v>
      </c>
      <c r="AI81" s="235">
        <v>0.50407923256687481</v>
      </c>
      <c r="AJ81" s="235">
        <v>0.51335308603797969</v>
      </c>
      <c r="AK81" s="235">
        <v>0.52321768769954857</v>
      </c>
      <c r="AL81" s="235">
        <v>0.53370023846279924</v>
      </c>
      <c r="AM81" s="235">
        <v>0.54475420241052996</v>
      </c>
      <c r="AN81" s="235">
        <v>0.55638253575311203</v>
      </c>
      <c r="AO81" s="235">
        <v>0.56858565587113952</v>
      </c>
      <c r="AP81" s="235">
        <v>0.58144420283869491</v>
      </c>
      <c r="AQ81" s="235">
        <v>0.59632026697093921</v>
      </c>
      <c r="AR81" s="235">
        <v>0.61185276645582976</v>
      </c>
      <c r="AS81" s="235">
        <v>0.62804822344209477</v>
      </c>
      <c r="AT81" s="235">
        <v>0.64490155618454603</v>
      </c>
      <c r="AU81" s="235">
        <v>0.6624167311492748</v>
      </c>
      <c r="AV81" s="235">
        <v>0.68055629202596013</v>
      </c>
      <c r="AW81" s="235">
        <v>0.69927953349858551</v>
      </c>
      <c r="AX81" s="235">
        <v>0.71855725512305413</v>
      </c>
      <c r="AY81" s="235">
        <v>0.73837784251221505</v>
      </c>
      <c r="AZ81" s="235">
        <v>0.75879515713906232</v>
      </c>
      <c r="BA81" s="235">
        <v>0.77987656150906282</v>
      </c>
      <c r="BB81" s="235">
        <v>0.80165594530588014</v>
      </c>
      <c r="BC81" s="235">
        <v>0.82418417665031141</v>
      </c>
      <c r="BD81" s="235">
        <v>0.84752752810736132</v>
      </c>
    </row>
    <row r="82" spans="2:56">
      <c r="B82" s="236">
        <v>35</v>
      </c>
      <c r="C82" s="235">
        <v>0.71461355491415268</v>
      </c>
      <c r="D82" s="235">
        <v>0.72815121808981442</v>
      </c>
      <c r="E82" s="235">
        <v>0.74222906039045466</v>
      </c>
      <c r="F82" s="235">
        <v>0.75710795703691125</v>
      </c>
      <c r="G82" s="235">
        <v>0.7728644611350276</v>
      </c>
      <c r="H82" s="235">
        <v>0.78957127434208396</v>
      </c>
      <c r="I82" s="235">
        <v>0.80722699910230766</v>
      </c>
      <c r="J82" s="235">
        <v>0.82573705584088142</v>
      </c>
      <c r="K82" s="235">
        <v>0.84505478176561721</v>
      </c>
      <c r="L82" s="235">
        <v>0.86515175070551309</v>
      </c>
      <c r="M82" s="235">
        <v>0.88612025200957267</v>
      </c>
      <c r="N82" s="235">
        <v>0.9104774028662036</v>
      </c>
      <c r="O82" s="235">
        <v>0.93551101930035485</v>
      </c>
      <c r="P82" s="235">
        <v>0.96119703130742229</v>
      </c>
      <c r="Q82" s="235">
        <v>0.98749915016026479</v>
      </c>
      <c r="R82" s="235">
        <v>1.0144098903862058</v>
      </c>
      <c r="S82" s="235">
        <v>1.0419087132365061</v>
      </c>
      <c r="T82" s="235">
        <v>1.0699198388164226</v>
      </c>
      <c r="U82" s="235">
        <v>1.098409843042415</v>
      </c>
      <c r="V82" s="235">
        <v>1.1273614336650826</v>
      </c>
      <c r="W82" s="235">
        <v>1.156835150441917</v>
      </c>
      <c r="X82" s="235">
        <v>1.1868701675768749</v>
      </c>
      <c r="Y82" s="235">
        <v>1.2174368339975736</v>
      </c>
      <c r="Z82" s="235">
        <v>1.2485042451282313</v>
      </c>
      <c r="AA82" s="235">
        <v>1.280067926948385</v>
      </c>
      <c r="AB82" s="235">
        <v>1.3121577679165914</v>
      </c>
      <c r="AD82" s="236">
        <v>35</v>
      </c>
      <c r="AE82" s="235">
        <v>0.48615233219270504</v>
      </c>
      <c r="AF82" s="235">
        <v>0.4946145783855897</v>
      </c>
      <c r="AG82" s="235">
        <v>0.50328651587205608</v>
      </c>
      <c r="AH82" s="235">
        <v>0.51243100435662259</v>
      </c>
      <c r="AI82" s="235">
        <v>0.52208973233168465</v>
      </c>
      <c r="AJ82" s="235">
        <v>0.53236608924295326</v>
      </c>
      <c r="AK82" s="235">
        <v>0.54328639141317792</v>
      </c>
      <c r="AL82" s="235">
        <v>0.55479627073027238</v>
      </c>
      <c r="AM82" s="235">
        <v>0.56689779314193045</v>
      </c>
      <c r="AN82" s="235">
        <v>0.57959059646250388</v>
      </c>
      <c r="AO82" s="235">
        <v>0.59296164806933405</v>
      </c>
      <c r="AP82" s="235">
        <v>0.60848182101852255</v>
      </c>
      <c r="AQ82" s="235">
        <v>0.62466937149580815</v>
      </c>
      <c r="AR82" s="235">
        <v>0.64153236964993188</v>
      </c>
      <c r="AS82" s="235">
        <v>0.65906623381386042</v>
      </c>
      <c r="AT82" s="235">
        <v>0.67727600770062624</v>
      </c>
      <c r="AU82" s="235">
        <v>0.69612245376698922</v>
      </c>
      <c r="AV82" s="235">
        <v>0.71556315678896387</v>
      </c>
      <c r="AW82" s="235">
        <v>0.73556814845621643</v>
      </c>
      <c r="AX82" s="235">
        <v>0.75612619437508255</v>
      </c>
      <c r="AY82" s="235">
        <v>0.77729537475137933</v>
      </c>
      <c r="AZ82" s="235">
        <v>0.79914764662267268</v>
      </c>
      <c r="BA82" s="235">
        <v>0.82171923153806925</v>
      </c>
      <c r="BB82" s="235">
        <v>0.84506410508409702</v>
      </c>
      <c r="BC82" s="235">
        <v>0.86925228862445847</v>
      </c>
      <c r="BD82" s="235">
        <v>0.89439312771792878</v>
      </c>
    </row>
    <row r="83" spans="2:56">
      <c r="B83" s="236">
        <v>36</v>
      </c>
      <c r="C83" s="235">
        <v>0.74098605286850228</v>
      </c>
      <c r="D83" s="235">
        <v>0.75573157669948987</v>
      </c>
      <c r="E83" s="235">
        <v>0.77129406364491104</v>
      </c>
      <c r="F83" s="235">
        <v>0.7877623505489062</v>
      </c>
      <c r="G83" s="235">
        <v>0.80521632190887604</v>
      </c>
      <c r="H83" s="235">
        <v>0.82365078934820068</v>
      </c>
      <c r="I83" s="235">
        <v>0.84295866262842611</v>
      </c>
      <c r="J83" s="235">
        <v>0.86308944188918146</v>
      </c>
      <c r="K83" s="235">
        <v>0.88401368841635153</v>
      </c>
      <c r="L83" s="235">
        <v>0.90583399724581914</v>
      </c>
      <c r="M83" s="235">
        <v>0.93128561353010431</v>
      </c>
      <c r="N83" s="235">
        <v>0.95740267808982404</v>
      </c>
      <c r="O83" s="235">
        <v>0.98416555426325658</v>
      </c>
      <c r="P83" s="235">
        <v>1.0115404781398276</v>
      </c>
      <c r="Q83" s="235">
        <v>1.0395240137505317</v>
      </c>
      <c r="R83" s="235">
        <v>1.0680980313795641</v>
      </c>
      <c r="S83" s="235">
        <v>1.0971849976598134</v>
      </c>
      <c r="T83" s="235">
        <v>1.1267526410983559</v>
      </c>
      <c r="U83" s="235">
        <v>1.1567855988603402</v>
      </c>
      <c r="V83" s="235">
        <v>1.1873509455034719</v>
      </c>
      <c r="W83" s="235">
        <v>1.2184923845871594</v>
      </c>
      <c r="X83" s="235">
        <v>1.2501802526666608</v>
      </c>
      <c r="Y83" s="235">
        <v>1.2823835439690923</v>
      </c>
      <c r="Z83" s="235">
        <v>1.3150991774795791</v>
      </c>
      <c r="AA83" s="235">
        <v>1.3483602669515706</v>
      </c>
      <c r="AB83" s="235">
        <v>1.382175786089398</v>
      </c>
      <c r="AD83" s="236">
        <v>36</v>
      </c>
      <c r="AE83" s="235">
        <v>0.50275217966587959</v>
      </c>
      <c r="AF83" s="235">
        <v>0.51178148019981673</v>
      </c>
      <c r="AG83" s="235">
        <v>0.5213009613766082</v>
      </c>
      <c r="AH83" s="235">
        <v>0.53135548338873329</v>
      </c>
      <c r="AI83" s="235">
        <v>0.54205859973725412</v>
      </c>
      <c r="AJ83" s="235">
        <v>0.55343442901837925</v>
      </c>
      <c r="AK83" s="235">
        <v>0.56541865847506256</v>
      </c>
      <c r="AL83" s="235">
        <v>0.57801222737469471</v>
      </c>
      <c r="AM83" s="235">
        <v>0.59121385070964205</v>
      </c>
      <c r="AN83" s="235">
        <v>0.60511776568108744</v>
      </c>
      <c r="AO83" s="235">
        <v>0.62131837817038027</v>
      </c>
      <c r="AP83" s="235">
        <v>0.63819497846695439</v>
      </c>
      <c r="AQ83" s="235">
        <v>0.65575786846872974</v>
      </c>
      <c r="AR83" s="235">
        <v>0.6740033838506142</v>
      </c>
      <c r="AS83" s="235">
        <v>0.69293804336285647</v>
      </c>
      <c r="AT83" s="235">
        <v>0.71252085289475375</v>
      </c>
      <c r="AU83" s="235">
        <v>0.73270771747961227</v>
      </c>
      <c r="AV83" s="235">
        <v>0.75346801735037849</v>
      </c>
      <c r="AW83" s="235">
        <v>0.77479110158667408</v>
      </c>
      <c r="AX83" s="235">
        <v>0.79673978625482234</v>
      </c>
      <c r="AY83" s="235">
        <v>0.81939110175819463</v>
      </c>
      <c r="AZ83" s="235">
        <v>0.84278383274310753</v>
      </c>
      <c r="BA83" s="235">
        <v>0.86697533058352205</v>
      </c>
      <c r="BB83" s="235">
        <v>0.89203965749678282</v>
      </c>
      <c r="BC83" s="235">
        <v>0.91809209907081535</v>
      </c>
      <c r="BD83" s="235">
        <v>0.94523438247765201</v>
      </c>
    </row>
    <row r="84" spans="2:56">
      <c r="B84" s="236">
        <v>37</v>
      </c>
      <c r="C84" s="235">
        <v>0.77008737816292427</v>
      </c>
      <c r="D84" s="235">
        <v>0.78636554367072986</v>
      </c>
      <c r="E84" s="235">
        <v>0.80357769470164808</v>
      </c>
      <c r="F84" s="235">
        <v>0.82181292240809145</v>
      </c>
      <c r="G84" s="235">
        <v>0.84106093244028002</v>
      </c>
      <c r="H84" s="235">
        <v>0.86119957125850588</v>
      </c>
      <c r="I84" s="235">
        <v>0.88217447159185358</v>
      </c>
      <c r="J84" s="235">
        <v>0.90395564487777613</v>
      </c>
      <c r="K84" s="235">
        <v>0.92665811039566226</v>
      </c>
      <c r="L84" s="235">
        <v>0.95326742954040644</v>
      </c>
      <c r="M84" s="235">
        <v>0.98052305554358477</v>
      </c>
      <c r="N84" s="235">
        <v>1.0084120359606463</v>
      </c>
      <c r="O84" s="235">
        <v>1.0369046288153523</v>
      </c>
      <c r="P84" s="235">
        <v>1.0660027992550727</v>
      </c>
      <c r="Q84" s="235">
        <v>1.095691724513481</v>
      </c>
      <c r="R84" s="235">
        <v>1.1258924063998998</v>
      </c>
      <c r="S84" s="235">
        <v>1.156574256194052</v>
      </c>
      <c r="T84" s="235">
        <v>1.1877243553419294</v>
      </c>
      <c r="U84" s="235">
        <v>1.2194171860928078</v>
      </c>
      <c r="V84" s="235">
        <v>1.2517015491294552</v>
      </c>
      <c r="W84" s="235">
        <v>1.2845478640762684</v>
      </c>
      <c r="X84" s="235">
        <v>1.3179251032662098</v>
      </c>
      <c r="Y84" s="235">
        <v>1.3518317753625215</v>
      </c>
      <c r="Z84" s="235">
        <v>1.38630454828477</v>
      </c>
      <c r="AA84" s="235">
        <v>1.4213543457715139</v>
      </c>
      <c r="AB84" s="235">
        <v>1.4569310403886973</v>
      </c>
      <c r="AD84" s="236">
        <v>37</v>
      </c>
      <c r="AE84" s="235">
        <v>0.52072050285499083</v>
      </c>
      <c r="AF84" s="235">
        <v>0.53063254040083896</v>
      </c>
      <c r="AG84" s="235">
        <v>0.54110184319069032</v>
      </c>
      <c r="AH84" s="235">
        <v>0.55225425325481559</v>
      </c>
      <c r="AI84" s="235">
        <v>0.56411012087966428</v>
      </c>
      <c r="AJ84" s="235">
        <v>0.57659268175696388</v>
      </c>
      <c r="AK84" s="235">
        <v>0.58970177314919703</v>
      </c>
      <c r="AL84" s="235">
        <v>0.60343524143008431</v>
      </c>
      <c r="AM84" s="235">
        <v>0.61789592425126016</v>
      </c>
      <c r="AN84" s="235">
        <v>0.63481975522804324</v>
      </c>
      <c r="AO84" s="235">
        <v>0.65242450950045439</v>
      </c>
      <c r="AP84" s="235">
        <v>0.67072378708115399</v>
      </c>
      <c r="AQ84" s="235">
        <v>0.68971550394936976</v>
      </c>
      <c r="AR84" s="235">
        <v>0.70940823984387047</v>
      </c>
      <c r="AS84" s="235">
        <v>0.72975935834831851</v>
      </c>
      <c r="AT84" s="235">
        <v>0.75072318781777736</v>
      </c>
      <c r="AU84" s="235">
        <v>0.77226864510760918</v>
      </c>
      <c r="AV84" s="235">
        <v>0.79438593704242844</v>
      </c>
      <c r="AW84" s="235">
        <v>0.81714323303993619</v>
      </c>
      <c r="AX84" s="235">
        <v>0.84062319515127892</v>
      </c>
      <c r="AY84" s="235">
        <v>0.86486743967859681</v>
      </c>
      <c r="AZ84" s="235">
        <v>0.88993699853585939</v>
      </c>
      <c r="BA84" s="235">
        <v>0.91591030125725215</v>
      </c>
      <c r="BB84" s="235">
        <v>0.94290901902480018</v>
      </c>
      <c r="BC84" s="235">
        <v>0.97104015675051836</v>
      </c>
      <c r="BD84" s="235">
        <v>1.0003598474435584</v>
      </c>
    </row>
    <row r="85" spans="2:56">
      <c r="B85" s="236">
        <v>38</v>
      </c>
      <c r="C85" s="235">
        <v>0.80255271258471361</v>
      </c>
      <c r="D85" s="235">
        <v>0.82051305071391323</v>
      </c>
      <c r="E85" s="235">
        <v>0.8395446172649399</v>
      </c>
      <c r="F85" s="235">
        <v>0.8596269312704341</v>
      </c>
      <c r="G85" s="235">
        <v>0.88061771836233571</v>
      </c>
      <c r="H85" s="235">
        <v>0.90245796800466005</v>
      </c>
      <c r="I85" s="235">
        <v>0.92511726515200066</v>
      </c>
      <c r="J85" s="235">
        <v>0.94872536213223257</v>
      </c>
      <c r="K85" s="235">
        <v>0.97655743389962368</v>
      </c>
      <c r="L85" s="235">
        <v>1.0050065655455946</v>
      </c>
      <c r="M85" s="235">
        <v>1.0340695936651878</v>
      </c>
      <c r="N85" s="235">
        <v>1.0637227945717482</v>
      </c>
      <c r="O85" s="235">
        <v>1.0939752431864427</v>
      </c>
      <c r="P85" s="235">
        <v>1.1248165241725858</v>
      </c>
      <c r="Q85" s="235">
        <v>1.1561665268526944</v>
      </c>
      <c r="R85" s="235">
        <v>1.1879969637337509</v>
      </c>
      <c r="S85" s="235">
        <v>1.2202979453570222</v>
      </c>
      <c r="T85" s="235">
        <v>1.2531523430943941</v>
      </c>
      <c r="U85" s="235">
        <v>1.2866146732355692</v>
      </c>
      <c r="V85" s="235">
        <v>1.320655516925989</v>
      </c>
      <c r="W85" s="235">
        <v>1.3552438883527791</v>
      </c>
      <c r="X85" s="235">
        <v>1.3903800841012588</v>
      </c>
      <c r="Y85" s="235">
        <v>1.426104673017986</v>
      </c>
      <c r="Z85" s="235">
        <v>1.4624307162117247</v>
      </c>
      <c r="AA85" s="235">
        <v>1.499306661043867</v>
      </c>
      <c r="AB85" s="235">
        <v>1.5366500067230577</v>
      </c>
      <c r="AD85" s="236">
        <v>38</v>
      </c>
      <c r="AE85" s="235">
        <v>0.54055063709166717</v>
      </c>
      <c r="AF85" s="235">
        <v>0.55143972443092848</v>
      </c>
      <c r="AG85" s="235">
        <v>0.56305546724887967</v>
      </c>
      <c r="AH85" s="235">
        <v>0.57541023243285883</v>
      </c>
      <c r="AI85" s="235">
        <v>0.58841051569199965</v>
      </c>
      <c r="AJ85" s="235">
        <v>0.60205476803995961</v>
      </c>
      <c r="AK85" s="235">
        <v>0.61633983304506457</v>
      </c>
      <c r="AL85" s="235">
        <v>0.63137867397509417</v>
      </c>
      <c r="AM85" s="235">
        <v>0.64907073838904161</v>
      </c>
      <c r="AN85" s="235">
        <v>0.66744388370108132</v>
      </c>
      <c r="AO85" s="235">
        <v>0.68651651179599504</v>
      </c>
      <c r="AP85" s="235">
        <v>0.70628903449773939</v>
      </c>
      <c r="AQ85" s="235">
        <v>0.72677285840798933</v>
      </c>
      <c r="AR85" s="235">
        <v>0.74792388035012547</v>
      </c>
      <c r="AS85" s="235">
        <v>0.76969500210048558</v>
      </c>
      <c r="AT85" s="235">
        <v>0.79205491595545985</v>
      </c>
      <c r="AU85" s="235">
        <v>0.81499501445704581</v>
      </c>
      <c r="AV85" s="235">
        <v>0.83858952971946266</v>
      </c>
      <c r="AW85" s="235">
        <v>0.86292738260350432</v>
      </c>
      <c r="AX85" s="235">
        <v>0.88805331118933106</v>
      </c>
      <c r="AY85" s="235">
        <v>0.91403235581077857</v>
      </c>
      <c r="AZ85" s="235">
        <v>0.94094766272331254</v>
      </c>
      <c r="BA85" s="235">
        <v>0.96892776843050277</v>
      </c>
      <c r="BB85" s="235">
        <v>0.99808530426132502</v>
      </c>
      <c r="BC85" s="235">
        <v>1.0284790233539622</v>
      </c>
      <c r="BD85" s="235">
        <v>1.060157847501709</v>
      </c>
    </row>
    <row r="86" spans="2:56">
      <c r="B86" s="236">
        <v>39</v>
      </c>
      <c r="C86" s="235">
        <v>0.83857057535650781</v>
      </c>
      <c r="D86" s="235">
        <v>0.85841000378156695</v>
      </c>
      <c r="E86" s="235">
        <v>0.87934714815415982</v>
      </c>
      <c r="F86" s="235">
        <v>0.90121141597091303</v>
      </c>
      <c r="G86" s="235">
        <v>0.92393806141009938</v>
      </c>
      <c r="H86" s="235">
        <v>0.94749644707778424</v>
      </c>
      <c r="I86" s="235">
        <v>0.97203401742426754</v>
      </c>
      <c r="J86" s="235">
        <v>1.0011645819390209</v>
      </c>
      <c r="K86" s="235">
        <v>1.0308688432172539</v>
      </c>
      <c r="L86" s="235">
        <v>1.0611580636359728</v>
      </c>
      <c r="M86" s="235">
        <v>1.0920174359071766</v>
      </c>
      <c r="N86" s="235">
        <v>1.1234654767850587</v>
      </c>
      <c r="O86" s="235">
        <v>1.1554976487253141</v>
      </c>
      <c r="P86" s="235">
        <v>1.1880332438675378</v>
      </c>
      <c r="Q86" s="235">
        <v>1.2210470663637358</v>
      </c>
      <c r="R86" s="235">
        <v>1.2545329739664428</v>
      </c>
      <c r="S86" s="235">
        <v>1.2885833759447705</v>
      </c>
      <c r="T86" s="235">
        <v>1.3232592110060748</v>
      </c>
      <c r="U86" s="235">
        <v>1.3585313025476247</v>
      </c>
      <c r="V86" s="235">
        <v>1.3943687711794366</v>
      </c>
      <c r="W86" s="235">
        <v>1.4307739178237746</v>
      </c>
      <c r="X86" s="235">
        <v>1.4677915935895023</v>
      </c>
      <c r="Y86" s="235">
        <v>1.5054371969502076</v>
      </c>
      <c r="Z86" s="235">
        <v>1.5436576503397577</v>
      </c>
      <c r="AA86" s="235">
        <v>1.582367245201415</v>
      </c>
      <c r="AB86" s="235">
        <v>1.6215400000576865</v>
      </c>
      <c r="AD86" s="236">
        <v>39</v>
      </c>
      <c r="AE86" s="235">
        <v>0.5623743734461617</v>
      </c>
      <c r="AF86" s="235">
        <v>0.57446832824846195</v>
      </c>
      <c r="AG86" s="235">
        <v>0.58734345734628945</v>
      </c>
      <c r="AH86" s="235">
        <v>0.6008829585600185</v>
      </c>
      <c r="AI86" s="235">
        <v>0.61508368695759763</v>
      </c>
      <c r="AJ86" s="235">
        <v>0.62994143899378585</v>
      </c>
      <c r="AK86" s="235">
        <v>0.64558133961997821</v>
      </c>
      <c r="AL86" s="235">
        <v>0.66409380477722069</v>
      </c>
      <c r="AM86" s="235">
        <v>0.68328051000151091</v>
      </c>
      <c r="AN86" s="235">
        <v>0.70316696424387581</v>
      </c>
      <c r="AO86" s="235">
        <v>0.72375746093993432</v>
      </c>
      <c r="AP86" s="235">
        <v>0.74506732442037826</v>
      </c>
      <c r="AQ86" s="235">
        <v>0.76705130457165727</v>
      </c>
      <c r="AR86" s="235">
        <v>0.78966113514778813</v>
      </c>
      <c r="AS86" s="235">
        <v>0.812865622749677</v>
      </c>
      <c r="AT86" s="235">
        <v>0.8366577673699066</v>
      </c>
      <c r="AU86" s="235">
        <v>0.86111870478493391</v>
      </c>
      <c r="AV86" s="235">
        <v>0.88634433907976795</v>
      </c>
      <c r="AW86" s="235">
        <v>0.91238285699849364</v>
      </c>
      <c r="AX86" s="235">
        <v>0.93930367124901037</v>
      </c>
      <c r="AY86" s="235">
        <v>0.96719502802618762</v>
      </c>
      <c r="AZ86" s="235">
        <v>0.9961928540268532</v>
      </c>
      <c r="BA86" s="235">
        <v>1.0264157806769034</v>
      </c>
      <c r="BB86" s="235">
        <v>1.0579252923205358</v>
      </c>
      <c r="BC86" s="235">
        <v>1.0907724850078102</v>
      </c>
      <c r="BD86" s="235">
        <v>1.1250654755494127</v>
      </c>
    </row>
    <row r="87" spans="2:56">
      <c r="B87" s="236">
        <v>40</v>
      </c>
      <c r="C87" s="235">
        <v>0.87828396138864628</v>
      </c>
      <c r="D87" s="235">
        <v>0.90011455155048148</v>
      </c>
      <c r="E87" s="235">
        <v>0.92288673301989066</v>
      </c>
      <c r="F87" s="235">
        <v>0.94653039739410316</v>
      </c>
      <c r="G87" s="235">
        <v>0.97101613564125389</v>
      </c>
      <c r="H87" s="235">
        <v>0.99651362098698226</v>
      </c>
      <c r="I87" s="235">
        <v>1.027037932158305</v>
      </c>
      <c r="J87" s="235">
        <v>1.0580716133529735</v>
      </c>
      <c r="K87" s="235">
        <v>1.0896476472051049</v>
      </c>
      <c r="L87" s="235">
        <v>1.1217645666962999</v>
      </c>
      <c r="M87" s="235">
        <v>1.1544536692549114</v>
      </c>
      <c r="N87" s="235">
        <v>1.187718359536081</v>
      </c>
      <c r="O87" s="235">
        <v>1.2214781335068801</v>
      </c>
      <c r="P87" s="235">
        <v>1.2557119469055158</v>
      </c>
      <c r="Q87" s="235">
        <v>1.2904183250620156</v>
      </c>
      <c r="R87" s="235">
        <v>1.3257005933786536</v>
      </c>
      <c r="S87" s="235">
        <v>1.3616269434099189</v>
      </c>
      <c r="T87" s="235">
        <v>1.398168537055456</v>
      </c>
      <c r="U87" s="235">
        <v>1.4352946774999016</v>
      </c>
      <c r="V87" s="235">
        <v>1.4730099165543109</v>
      </c>
      <c r="W87" s="235">
        <v>1.5113638163127736</v>
      </c>
      <c r="X87" s="235">
        <v>1.5503743328193051</v>
      </c>
      <c r="Y87" s="235">
        <v>1.5899867479242886</v>
      </c>
      <c r="Z87" s="235">
        <v>1.630111909265537</v>
      </c>
      <c r="AA87" s="235">
        <v>1.6707240530271943</v>
      </c>
      <c r="AB87" s="235">
        <v>1.7118396304569514</v>
      </c>
      <c r="AD87" s="236">
        <v>40</v>
      </c>
      <c r="AE87" s="235">
        <v>0.58644702117728142</v>
      </c>
      <c r="AF87" s="235">
        <v>0.59987609003207509</v>
      </c>
      <c r="AG87" s="235">
        <v>0.61398489594508321</v>
      </c>
      <c r="AH87" s="235">
        <v>0.62876973089125032</v>
      </c>
      <c r="AI87" s="235">
        <v>0.64422604548203655</v>
      </c>
      <c r="AJ87" s="235">
        <v>0.6604942351779427</v>
      </c>
      <c r="AK87" s="235">
        <v>0.67989076762526968</v>
      </c>
      <c r="AL87" s="235">
        <v>0.69994400717073479</v>
      </c>
      <c r="AM87" s="235">
        <v>0.72069026302129802</v>
      </c>
      <c r="AN87" s="235">
        <v>0.74213989053234086</v>
      </c>
      <c r="AO87" s="235">
        <v>0.7643137467259522</v>
      </c>
      <c r="AP87" s="235">
        <v>0.78716600278757887</v>
      </c>
      <c r="AQ87" s="235">
        <v>0.81064766268730504</v>
      </c>
      <c r="AR87" s="235">
        <v>0.83472813979675864</v>
      </c>
      <c r="AS87" s="235">
        <v>0.85940259804067376</v>
      </c>
      <c r="AT87" s="235">
        <v>0.88476008988444299</v>
      </c>
      <c r="AU87" s="235">
        <v>0.91090435054411445</v>
      </c>
      <c r="AV87" s="235">
        <v>0.93788738956996309</v>
      </c>
      <c r="AW87" s="235">
        <v>0.96578340066546919</v>
      </c>
      <c r="AX87" s="235">
        <v>0.9946861538346613</v>
      </c>
      <c r="AY87" s="235">
        <v>1.0247395436285507</v>
      </c>
      <c r="AZ87" s="235">
        <v>1.0560686036880638</v>
      </c>
      <c r="BA87" s="235">
        <v>1.0887376566477394</v>
      </c>
      <c r="BB87" s="235">
        <v>1.122800040106769</v>
      </c>
      <c r="BC87" s="235">
        <v>1.1583692793989557</v>
      </c>
      <c r="BD87" s="235">
        <v>1.1955845154076599</v>
      </c>
    </row>
    <row r="88" spans="2:56">
      <c r="B88" s="236">
        <v>41</v>
      </c>
      <c r="C88" s="235">
        <v>0.92160344223790835</v>
      </c>
      <c r="D88" s="235">
        <v>0.94537378581030096</v>
      </c>
      <c r="E88" s="235">
        <v>0.9700031099650479</v>
      </c>
      <c r="F88" s="235">
        <v>0.9954719059905881</v>
      </c>
      <c r="G88" s="235">
        <v>1.0219816563079811</v>
      </c>
      <c r="H88" s="235">
        <v>1.0540318493561502</v>
      </c>
      <c r="I88" s="235">
        <v>1.0864935847672659</v>
      </c>
      <c r="J88" s="235">
        <v>1.11943382571032</v>
      </c>
      <c r="K88" s="235">
        <v>1.1528716444518754</v>
      </c>
      <c r="L88" s="235">
        <v>1.1868562087889314</v>
      </c>
      <c r="M88" s="235">
        <v>1.2214019596076651</v>
      </c>
      <c r="N88" s="235">
        <v>1.2564299330226811</v>
      </c>
      <c r="O88" s="235">
        <v>1.2919247529741065</v>
      </c>
      <c r="P88" s="235">
        <v>1.327890865670307</v>
      </c>
      <c r="Q88" s="235">
        <v>1.3644442293603947</v>
      </c>
      <c r="R88" s="235">
        <v>1.4016613085909175</v>
      </c>
      <c r="S88" s="235">
        <v>1.4395137484736884</v>
      </c>
      <c r="T88" s="235">
        <v>1.4779711488270557</v>
      </c>
      <c r="U88" s="235">
        <v>1.5170406141285162</v>
      </c>
      <c r="V88" s="235">
        <v>1.5567769174880099</v>
      </c>
      <c r="W88" s="235">
        <v>1.5972008287715502</v>
      </c>
      <c r="X88" s="235">
        <v>1.6382558655676511</v>
      </c>
      <c r="Y88" s="235">
        <v>1.6798491753853355</v>
      </c>
      <c r="Z88" s="235">
        <v>1.7219552925038499</v>
      </c>
      <c r="AA88" s="235">
        <v>1.7645933737284079</v>
      </c>
      <c r="AB88" s="235">
        <v>0</v>
      </c>
      <c r="AD88" s="236">
        <v>41</v>
      </c>
      <c r="AE88" s="235">
        <v>0.61278733957488729</v>
      </c>
      <c r="AF88" s="235">
        <v>0.6275386840000986</v>
      </c>
      <c r="AG88" s="235">
        <v>0.64296491499122144</v>
      </c>
      <c r="AH88" s="235">
        <v>0.65906716063073456</v>
      </c>
      <c r="AI88" s="235">
        <v>0.6760079562392719</v>
      </c>
      <c r="AJ88" s="235">
        <v>0.69637676746980048</v>
      </c>
      <c r="AK88" s="235">
        <v>0.71736662270224383</v>
      </c>
      <c r="AL88" s="235">
        <v>0.73903111083828898</v>
      </c>
      <c r="AM88" s="235">
        <v>0.7613904093279189</v>
      </c>
      <c r="AN88" s="235">
        <v>0.78447353058231128</v>
      </c>
      <c r="AO88" s="235">
        <v>0.80823516486546731</v>
      </c>
      <c r="AP88" s="235">
        <v>0.83262639795808058</v>
      </c>
      <c r="AQ88" s="235">
        <v>0.85761803806296943</v>
      </c>
      <c r="AR88" s="235">
        <v>0.88320821054042387</v>
      </c>
      <c r="AS88" s="235">
        <v>0.90949516143018583</v>
      </c>
      <c r="AT88" s="235">
        <v>0.93659149220750193</v>
      </c>
      <c r="AU88" s="235">
        <v>0.96455349368402099</v>
      </c>
      <c r="AV88" s="235">
        <v>0.99346062372199007</v>
      </c>
      <c r="AW88" s="235">
        <v>1.023412664666244</v>
      </c>
      <c r="AX88" s="235">
        <v>1.054562131455911</v>
      </c>
      <c r="AY88" s="235">
        <v>1.0870409051842396</v>
      </c>
      <c r="AZ88" s="235">
        <v>1.1209162573287683</v>
      </c>
      <c r="BA88" s="235">
        <v>1.1562438339849561</v>
      </c>
      <c r="BB88" s="235">
        <v>1.1931428989743416</v>
      </c>
      <c r="BC88" s="235">
        <v>1.2317595655752567</v>
      </c>
      <c r="BD88" s="235">
        <v>0</v>
      </c>
    </row>
    <row r="89" spans="2:56">
      <c r="B89" s="236">
        <v>42</v>
      </c>
      <c r="C89" s="235">
        <v>0.96930798952441743</v>
      </c>
      <c r="D89" s="235">
        <v>0.99491990161826294</v>
      </c>
      <c r="E89" s="235">
        <v>1.0213707319532128</v>
      </c>
      <c r="F89" s="235">
        <v>1.0489013409372887</v>
      </c>
      <c r="G89" s="235">
        <v>1.0826022408783229</v>
      </c>
      <c r="H89" s="235">
        <v>1.1165748593964639</v>
      </c>
      <c r="I89" s="235">
        <v>1.1509380730605014</v>
      </c>
      <c r="J89" s="235">
        <v>1.1857412090526618</v>
      </c>
      <c r="K89" s="235">
        <v>1.2210576525375996</v>
      </c>
      <c r="L89" s="235">
        <v>1.2569164461707423</v>
      </c>
      <c r="M89" s="235">
        <v>1.293241496869896</v>
      </c>
      <c r="N89" s="235">
        <v>1.3300246447287705</v>
      </c>
      <c r="O89" s="235">
        <v>1.3672774888305657</v>
      </c>
      <c r="P89" s="235">
        <v>1.4051304017135378</v>
      </c>
      <c r="Q89" s="235">
        <v>1.443669083780458</v>
      </c>
      <c r="R89" s="235">
        <v>1.4828656308062174</v>
      </c>
      <c r="S89" s="235">
        <v>1.5226899065150379</v>
      </c>
      <c r="T89" s="235">
        <v>1.5631517772345813</v>
      </c>
      <c r="U89" s="235">
        <v>1.6043116794576306</v>
      </c>
      <c r="V89" s="235">
        <v>1.6461933844155152</v>
      </c>
      <c r="W89" s="235">
        <v>1.6887384187359982</v>
      </c>
      <c r="X89" s="235">
        <v>1.7318498707573633</v>
      </c>
      <c r="Y89" s="235">
        <v>1.7755026057160985</v>
      </c>
      <c r="Z89" s="235">
        <v>1.8197187262948655</v>
      </c>
      <c r="AA89" s="235">
        <v>0</v>
      </c>
      <c r="AB89" s="235">
        <v>0</v>
      </c>
      <c r="AD89" s="236">
        <v>42</v>
      </c>
      <c r="AE89" s="235">
        <v>0.6420754181034356</v>
      </c>
      <c r="AF89" s="235">
        <v>0.65814280743572751</v>
      </c>
      <c r="AG89" s="235">
        <v>0.6748930540706467</v>
      </c>
      <c r="AH89" s="235">
        <v>0.69251569978027783</v>
      </c>
      <c r="AI89" s="235">
        <v>0.71393242435362214</v>
      </c>
      <c r="AJ89" s="235">
        <v>0.73591353750689736</v>
      </c>
      <c r="AK89" s="235">
        <v>0.75853894159245572</v>
      </c>
      <c r="AL89" s="235">
        <v>0.78184341975169214</v>
      </c>
      <c r="AM89" s="235">
        <v>0.80586720922209776</v>
      </c>
      <c r="AN89" s="235">
        <v>0.83056660941843663</v>
      </c>
      <c r="AO89" s="235">
        <v>0.85589353727215201</v>
      </c>
      <c r="AP89" s="235">
        <v>0.88182093331953781</v>
      </c>
      <c r="AQ89" s="235">
        <v>0.90835064538054788</v>
      </c>
      <c r="AR89" s="235">
        <v>0.9355914433656024</v>
      </c>
      <c r="AS89" s="235">
        <v>0.96366583544870899</v>
      </c>
      <c r="AT89" s="235">
        <v>0.99263477062833738</v>
      </c>
      <c r="AU89" s="235">
        <v>1.0225833927719454</v>
      </c>
      <c r="AV89" s="235">
        <v>1.0536179371357424</v>
      </c>
      <c r="AW89" s="235">
        <v>1.0859001756530535</v>
      </c>
      <c r="AX89" s="235">
        <v>1.1195692447066377</v>
      </c>
      <c r="AY89" s="235">
        <v>1.1546954049842968</v>
      </c>
      <c r="AZ89" s="235">
        <v>1.1913366150140787</v>
      </c>
      <c r="BA89" s="235">
        <v>1.2296181852103314</v>
      </c>
      <c r="BB89" s="235">
        <v>1.2696935982468185</v>
      </c>
      <c r="BC89" s="235">
        <v>0</v>
      </c>
      <c r="BD89" s="235">
        <v>0</v>
      </c>
    </row>
    <row r="90" spans="2:56">
      <c r="B90" s="236">
        <v>43</v>
      </c>
      <c r="C90" s="235">
        <v>1.0211761484725408</v>
      </c>
      <c r="D90" s="235">
        <v>1.0486081538895804</v>
      </c>
      <c r="E90" s="235">
        <v>1.0771722132595629</v>
      </c>
      <c r="F90" s="235">
        <v>1.1126951015359228</v>
      </c>
      <c r="G90" s="235">
        <v>1.1482834038832774</v>
      </c>
      <c r="H90" s="235">
        <v>1.1841385771187629</v>
      </c>
      <c r="I90" s="235">
        <v>1.2203557807688397</v>
      </c>
      <c r="J90" s="235">
        <v>1.2570420318014504</v>
      </c>
      <c r="K90" s="235">
        <v>1.294246022847988</v>
      </c>
      <c r="L90" s="235">
        <v>1.331896442578191</v>
      </c>
      <c r="M90" s="235">
        <v>1.3699943663863936</v>
      </c>
      <c r="N90" s="235">
        <v>1.4085600736896027</v>
      </c>
      <c r="O90" s="235">
        <v>1.4477404601055552</v>
      </c>
      <c r="P90" s="235">
        <v>1.4876315443646067</v>
      </c>
      <c r="Q90" s="235">
        <v>1.5282057773269562</v>
      </c>
      <c r="R90" s="235">
        <v>1.5694332047304917</v>
      </c>
      <c r="S90" s="235">
        <v>1.6113266608508376</v>
      </c>
      <c r="T90" s="235">
        <v>1.6539527318139535</v>
      </c>
      <c r="U90" s="235">
        <v>1.697338372766567</v>
      </c>
      <c r="V90" s="235">
        <v>1.7414228371437734</v>
      </c>
      <c r="W90" s="235">
        <v>1.786104732499362</v>
      </c>
      <c r="X90" s="235">
        <v>1.8313592831807315</v>
      </c>
      <c r="Y90" s="235">
        <v>1.8772118001113329</v>
      </c>
      <c r="Z90" s="235">
        <v>0</v>
      </c>
      <c r="AA90" s="235">
        <v>0</v>
      </c>
      <c r="AB90" s="235">
        <v>0</v>
      </c>
      <c r="AD90" s="236">
        <v>43</v>
      </c>
      <c r="AE90" s="235">
        <v>0.67420068455455995</v>
      </c>
      <c r="AF90" s="235">
        <v>0.69160872892546532</v>
      </c>
      <c r="AG90" s="235">
        <v>0.70993093377568284</v>
      </c>
      <c r="AH90" s="235">
        <v>0.73250236447027073</v>
      </c>
      <c r="AI90" s="235">
        <v>0.75554652332657235</v>
      </c>
      <c r="AJ90" s="235">
        <v>0.77918557774836095</v>
      </c>
      <c r="AK90" s="235">
        <v>0.80347694325585661</v>
      </c>
      <c r="AL90" s="235">
        <v>0.82847688543553499</v>
      </c>
      <c r="AM90" s="235">
        <v>0.85414514646991824</v>
      </c>
      <c r="AN90" s="235">
        <v>0.88043568269895434</v>
      </c>
      <c r="AO90" s="235">
        <v>0.90732463935849539</v>
      </c>
      <c r="AP90" s="235">
        <v>0.93481860387776716</v>
      </c>
      <c r="AQ90" s="235">
        <v>0.96303849866927693</v>
      </c>
      <c r="AR90" s="235">
        <v>0.9921179639283092</v>
      </c>
      <c r="AS90" s="235">
        <v>1.0221230254824274</v>
      </c>
      <c r="AT90" s="235">
        <v>1.0531449762252429</v>
      </c>
      <c r="AU90" s="235">
        <v>1.0852969822799248</v>
      </c>
      <c r="AV90" s="235">
        <v>1.1187507687424485</v>
      </c>
      <c r="AW90" s="235">
        <v>1.153653156103164</v>
      </c>
      <c r="AX90" s="235">
        <v>1.1900774074677973</v>
      </c>
      <c r="AY90" s="235">
        <v>1.2280837719400557</v>
      </c>
      <c r="AZ90" s="235">
        <v>1.2678039305810074</v>
      </c>
      <c r="BA90" s="235">
        <v>1.3093991585778988</v>
      </c>
      <c r="BB90" s="235">
        <v>0</v>
      </c>
      <c r="BC90" s="235">
        <v>0</v>
      </c>
      <c r="BD90" s="235">
        <v>0</v>
      </c>
    </row>
    <row r="91" spans="2:56">
      <c r="B91" s="236">
        <v>44</v>
      </c>
      <c r="C91" s="235">
        <v>1.0771443059712265</v>
      </c>
      <c r="D91" s="235">
        <v>1.1067518936878418</v>
      </c>
      <c r="E91" s="235">
        <v>1.1443341399343199</v>
      </c>
      <c r="F91" s="235">
        <v>1.1816673989326736</v>
      </c>
      <c r="G91" s="235">
        <v>1.219090478925924</v>
      </c>
      <c r="H91" s="235">
        <v>1.256769884165813</v>
      </c>
      <c r="I91" s="235">
        <v>1.2948603214690719</v>
      </c>
      <c r="J91" s="235">
        <v>1.3334371870672517</v>
      </c>
      <c r="K91" s="235">
        <v>1.3724365268699279</v>
      </c>
      <c r="L91" s="235">
        <v>1.4118711711058232</v>
      </c>
      <c r="M91" s="235">
        <v>1.4517718771569201</v>
      </c>
      <c r="N91" s="235">
        <v>1.4923044892140609</v>
      </c>
      <c r="O91" s="235">
        <v>1.5335764895678583</v>
      </c>
      <c r="P91" s="235">
        <v>1.5755604407628179</v>
      </c>
      <c r="Q91" s="235">
        <v>1.6182263755775341</v>
      </c>
      <c r="R91" s="235">
        <v>1.6615902575154606</v>
      </c>
      <c r="S91" s="235">
        <v>1.7057253159862342</v>
      </c>
      <c r="T91" s="235">
        <v>1.7506618390267066</v>
      </c>
      <c r="U91" s="235">
        <v>1.7963364367733425</v>
      </c>
      <c r="V91" s="235">
        <v>1.8426427237379452</v>
      </c>
      <c r="W91" s="235">
        <v>1.8895562927505083</v>
      </c>
      <c r="X91" s="235">
        <v>1.9371059398595867</v>
      </c>
      <c r="Y91" s="235">
        <v>0</v>
      </c>
      <c r="Z91" s="235">
        <v>0</v>
      </c>
      <c r="AA91" s="235">
        <v>0</v>
      </c>
      <c r="AB91" s="235">
        <v>0</v>
      </c>
      <c r="AD91" s="236">
        <v>44</v>
      </c>
      <c r="AE91" s="235">
        <v>0.70927380841489496</v>
      </c>
      <c r="AF91" s="235">
        <v>0.72830440568766697</v>
      </c>
      <c r="AG91" s="235">
        <v>0.75216911066571202</v>
      </c>
      <c r="AH91" s="235">
        <v>0.77635873805037359</v>
      </c>
      <c r="AI91" s="235">
        <v>0.80106604097554135</v>
      </c>
      <c r="AJ91" s="235">
        <v>0.82638413799054611</v>
      </c>
      <c r="AK91" s="235">
        <v>0.85239245806230579</v>
      </c>
      <c r="AL91" s="235">
        <v>0.8790568314355196</v>
      </c>
      <c r="AM91" s="235">
        <v>0.90633488063513123</v>
      </c>
      <c r="AN91" s="235">
        <v>0.93420729855513629</v>
      </c>
      <c r="AO91" s="235">
        <v>0.96268661744383699</v>
      </c>
      <c r="AP91" s="235">
        <v>0.99190779888707181</v>
      </c>
      <c r="AQ91" s="235">
        <v>1.022016967978485</v>
      </c>
      <c r="AR91" s="235">
        <v>1.0530856114282552</v>
      </c>
      <c r="AS91" s="235">
        <v>1.0852116151450719</v>
      </c>
      <c r="AT91" s="235">
        <v>1.1185155427151485</v>
      </c>
      <c r="AU91" s="235">
        <v>1.1531797931477403</v>
      </c>
      <c r="AV91" s="235">
        <v>1.1893592854191875</v>
      </c>
      <c r="AW91" s="235">
        <v>1.2271302336251866</v>
      </c>
      <c r="AX91" s="235">
        <v>1.2665550989617098</v>
      </c>
      <c r="AY91" s="235">
        <v>1.3077722542025803</v>
      </c>
      <c r="AZ91" s="235">
        <v>1.3509512021388841</v>
      </c>
      <c r="BA91" s="235">
        <v>0</v>
      </c>
      <c r="BB91" s="235">
        <v>0</v>
      </c>
      <c r="BC91" s="235">
        <v>0</v>
      </c>
      <c r="BD91" s="235">
        <v>0</v>
      </c>
    </row>
    <row r="92" spans="2:56">
      <c r="B92" s="236">
        <v>45</v>
      </c>
      <c r="C92" s="235">
        <v>1.137483737302414</v>
      </c>
      <c r="D92" s="235">
        <v>1.1774899882688226</v>
      </c>
      <c r="E92" s="235">
        <v>1.2167418204051008</v>
      </c>
      <c r="F92" s="235">
        <v>1.2558218140210897</v>
      </c>
      <c r="G92" s="235">
        <v>1.295012270148109</v>
      </c>
      <c r="H92" s="235">
        <v>1.3345375737375009</v>
      </c>
      <c r="I92" s="235">
        <v>1.3745100160445274</v>
      </c>
      <c r="J92" s="235">
        <v>1.4148765482553118</v>
      </c>
      <c r="K92" s="235">
        <v>1.4556649383093683</v>
      </c>
      <c r="L92" s="235">
        <v>1.4969185401206111</v>
      </c>
      <c r="M92" s="235">
        <v>1.5388249385981532</v>
      </c>
      <c r="N92" s="235">
        <v>1.5815042616423163</v>
      </c>
      <c r="O92" s="235">
        <v>1.6249287228445288</v>
      </c>
      <c r="P92" s="235">
        <v>1.6690679878309211</v>
      </c>
      <c r="Q92" s="235">
        <v>1.7139412439340556</v>
      </c>
      <c r="R92" s="235">
        <v>1.7596288581068007</v>
      </c>
      <c r="S92" s="235">
        <v>1.8061645535216881</v>
      </c>
      <c r="T92" s="235">
        <v>1.8534818185026252</v>
      </c>
      <c r="U92" s="235">
        <v>1.901468654283119</v>
      </c>
      <c r="V92" s="235">
        <v>1.9501010106069085</v>
      </c>
      <c r="W92" s="235">
        <v>1.9994114638724521</v>
      </c>
      <c r="X92" s="235">
        <v>0</v>
      </c>
      <c r="Y92" s="235">
        <v>0</v>
      </c>
      <c r="Z92" s="235">
        <v>0</v>
      </c>
      <c r="AA92" s="235">
        <v>0</v>
      </c>
      <c r="AB92" s="235">
        <v>0</v>
      </c>
      <c r="AD92" s="236">
        <v>45</v>
      </c>
      <c r="AE92" s="235">
        <v>0.74752353575759412</v>
      </c>
      <c r="AF92" s="235">
        <v>0.77289725197272041</v>
      </c>
      <c r="AG92" s="235">
        <v>0.79834569922462251</v>
      </c>
      <c r="AH92" s="235">
        <v>0.82418850249556797</v>
      </c>
      <c r="AI92" s="235">
        <v>0.8505780066706905</v>
      </c>
      <c r="AJ92" s="235">
        <v>0.8776284308630099</v>
      </c>
      <c r="AK92" s="235">
        <v>0.90531597232308059</v>
      </c>
      <c r="AL92" s="235">
        <v>0.93360438204752083</v>
      </c>
      <c r="AM92" s="235">
        <v>0.96248075740247696</v>
      </c>
      <c r="AN92" s="235">
        <v>0.99196511897584239</v>
      </c>
      <c r="AO92" s="235">
        <v>1.0222087412275083</v>
      </c>
      <c r="AP92" s="235">
        <v>1.0533717787317232</v>
      </c>
      <c r="AQ92" s="235">
        <v>1.085531539420286</v>
      </c>
      <c r="AR92" s="235">
        <v>1.1187929391289291</v>
      </c>
      <c r="AS92" s="235">
        <v>1.1532844052376434</v>
      </c>
      <c r="AT92" s="235">
        <v>1.1891997721561076</v>
      </c>
      <c r="AU92" s="235">
        <v>1.226702462967358</v>
      </c>
      <c r="AV92" s="235">
        <v>1.2658715222592949</v>
      </c>
      <c r="AW92" s="235">
        <v>1.3067714860373185</v>
      </c>
      <c r="AX92" s="235">
        <v>1.3495477441829495</v>
      </c>
      <c r="AY92" s="235">
        <v>1.3943784828610668</v>
      </c>
      <c r="AZ92" s="235">
        <v>0</v>
      </c>
      <c r="BA92" s="235">
        <v>0</v>
      </c>
      <c r="BB92" s="235">
        <v>0</v>
      </c>
      <c r="BC92" s="235">
        <v>0</v>
      </c>
      <c r="BD92" s="235">
        <v>0</v>
      </c>
    </row>
    <row r="93" spans="2:56">
      <c r="B93" s="236">
        <v>46</v>
      </c>
      <c r="C93" s="235">
        <v>1.2122368281813094</v>
      </c>
      <c r="D93" s="235">
        <v>1.2536386701941773</v>
      </c>
      <c r="E93" s="235">
        <v>1.2944694016697098</v>
      </c>
      <c r="F93" s="235">
        <v>1.335208124522806</v>
      </c>
      <c r="G93" s="235">
        <v>1.3761837131968537</v>
      </c>
      <c r="H93" s="235">
        <v>1.417559702595693</v>
      </c>
      <c r="I93" s="235">
        <v>1.4592983312704824</v>
      </c>
      <c r="J93" s="235">
        <v>1.5014459559580848</v>
      </c>
      <c r="K93" s="235">
        <v>1.5440607263459107</v>
      </c>
      <c r="L93" s="235">
        <v>1.587354968743707</v>
      </c>
      <c r="M93" s="235">
        <v>1.6314624717973434</v>
      </c>
      <c r="N93" s="235">
        <v>1.676354205959889</v>
      </c>
      <c r="O93" s="235">
        <v>1.7219988046570445</v>
      </c>
      <c r="P93" s="235">
        <v>1.7684186098196508</v>
      </c>
      <c r="Q93" s="235">
        <v>1.8157015585994671</v>
      </c>
      <c r="R93" s="235">
        <v>1.8638848057917405</v>
      </c>
      <c r="S93" s="235">
        <v>1.9128980715713471</v>
      </c>
      <c r="T93" s="235">
        <v>1.9626229672264268</v>
      </c>
      <c r="U93" s="235">
        <v>2.0130357423313625</v>
      </c>
      <c r="V93" s="235">
        <v>2.0641730536139238</v>
      </c>
      <c r="W93" s="235">
        <v>0</v>
      </c>
      <c r="X93" s="235">
        <v>0</v>
      </c>
      <c r="Y93" s="235">
        <v>0</v>
      </c>
      <c r="Z93" s="235">
        <v>0</v>
      </c>
      <c r="AA93" s="235">
        <v>0</v>
      </c>
      <c r="AB93" s="235">
        <v>0</v>
      </c>
      <c r="AD93" s="236">
        <v>46</v>
      </c>
      <c r="AE93" s="235">
        <v>0.79472952033362276</v>
      </c>
      <c r="AF93" s="235">
        <v>0.82158973838256388</v>
      </c>
      <c r="AG93" s="235">
        <v>0.84864370756180896</v>
      </c>
      <c r="AH93" s="235">
        <v>0.8761470427497442</v>
      </c>
      <c r="AI93" s="235">
        <v>0.90426781588572369</v>
      </c>
      <c r="AJ93" s="235">
        <v>0.93299912720564193</v>
      </c>
      <c r="AK93" s="235">
        <v>0.96231426051951119</v>
      </c>
      <c r="AL93" s="235">
        <v>0.99220905221618705</v>
      </c>
      <c r="AM93" s="235">
        <v>1.0227128141136255</v>
      </c>
      <c r="AN93" s="235">
        <v>1.0539957520253367</v>
      </c>
      <c r="AO93" s="235">
        <v>1.0862337033754388</v>
      </c>
      <c r="AP93" s="235">
        <v>1.1195100179696358</v>
      </c>
      <c r="AQ93" s="235">
        <v>1.1539369867630778</v>
      </c>
      <c r="AR93" s="235">
        <v>1.1896513028338431</v>
      </c>
      <c r="AS93" s="235">
        <v>1.2268589964325469</v>
      </c>
      <c r="AT93" s="235">
        <v>1.2657323484836585</v>
      </c>
      <c r="AU93" s="235">
        <v>1.306352998261799</v>
      </c>
      <c r="AV93" s="235">
        <v>1.3487873247164543</v>
      </c>
      <c r="AW93" s="235">
        <v>1.393188046279042</v>
      </c>
      <c r="AX93" s="235">
        <v>1.4397424967550818</v>
      </c>
      <c r="AY93" s="235">
        <v>0</v>
      </c>
      <c r="AZ93" s="235">
        <v>0</v>
      </c>
      <c r="BA93" s="235">
        <v>0</v>
      </c>
      <c r="BB93" s="235">
        <v>0</v>
      </c>
      <c r="BC93" s="235">
        <v>0</v>
      </c>
      <c r="BD93" s="235">
        <v>0</v>
      </c>
    </row>
    <row r="94" spans="2:56">
      <c r="B94" s="236">
        <v>47</v>
      </c>
      <c r="C94" s="235">
        <v>1.292887302057383</v>
      </c>
      <c r="D94" s="235">
        <v>1.3355081327583282</v>
      </c>
      <c r="E94" s="235">
        <v>1.3777690132235048</v>
      </c>
      <c r="F94" s="235">
        <v>1.4201545073277164</v>
      </c>
      <c r="G94" s="235">
        <v>1.4628960303173228</v>
      </c>
      <c r="H94" s="235">
        <v>1.5059738737171688</v>
      </c>
      <c r="I94" s="235">
        <v>1.5494554102010649</v>
      </c>
      <c r="J94" s="235">
        <v>1.5934146080566847</v>
      </c>
      <c r="K94" s="235">
        <v>1.6380909139635691</v>
      </c>
      <c r="L94" s="235">
        <v>1.6836319254386918</v>
      </c>
      <c r="M94" s="235">
        <v>1.7300054574815309</v>
      </c>
      <c r="N94" s="235">
        <v>1.7771777277697891</v>
      </c>
      <c r="O94" s="235">
        <v>1.8251737229164255</v>
      </c>
      <c r="P94" s="235">
        <v>1.8740891291710662</v>
      </c>
      <c r="Q94" s="235">
        <v>1.9239642629630318</v>
      </c>
      <c r="R94" s="235">
        <v>1.974724121280323</v>
      </c>
      <c r="S94" s="235">
        <v>2.0262428805112682</v>
      </c>
      <c r="T94" s="235">
        <v>2.0784969164838172</v>
      </c>
      <c r="U94" s="235">
        <v>2.131527221540733</v>
      </c>
      <c r="V94" s="235">
        <v>0</v>
      </c>
      <c r="W94" s="235">
        <v>0</v>
      </c>
      <c r="X94" s="235">
        <v>0</v>
      </c>
      <c r="Y94" s="235">
        <v>0</v>
      </c>
      <c r="Z94" s="235">
        <v>0</v>
      </c>
      <c r="AA94" s="235">
        <v>0</v>
      </c>
      <c r="AB94" s="235">
        <v>0</v>
      </c>
      <c r="AD94" s="236">
        <v>47</v>
      </c>
      <c r="AE94" s="235">
        <v>0.84646155737743833</v>
      </c>
      <c r="AF94" s="235">
        <v>0.87477108585884311</v>
      </c>
      <c r="AG94" s="235">
        <v>0.9033940212616024</v>
      </c>
      <c r="AH94" s="235">
        <v>0.93258052429688043</v>
      </c>
      <c r="AI94" s="235">
        <v>0.96234805498212284</v>
      </c>
      <c r="AJ94" s="235">
        <v>0.99268244879999812</v>
      </c>
      <c r="AK94" s="235">
        <v>1.0235900798994784</v>
      </c>
      <c r="AL94" s="235">
        <v>1.0551108651953662</v>
      </c>
      <c r="AM94" s="235">
        <v>1.0874364136571597</v>
      </c>
      <c r="AN94" s="235">
        <v>1.1207595895003233</v>
      </c>
      <c r="AO94" s="235">
        <v>1.1551694925314573</v>
      </c>
      <c r="AP94" s="235">
        <v>1.1907857748447017</v>
      </c>
      <c r="AQ94" s="235">
        <v>1.2277535348414677</v>
      </c>
      <c r="AR94" s="235">
        <v>1.2662916185838922</v>
      </c>
      <c r="AS94" s="235">
        <v>1.3065813462202098</v>
      </c>
      <c r="AT94" s="235">
        <v>1.3487064917788751</v>
      </c>
      <c r="AU94" s="235">
        <v>1.3927348667906823</v>
      </c>
      <c r="AV94" s="235">
        <v>1.4388267621323985</v>
      </c>
      <c r="AW94" s="235">
        <v>1.4871790920965713</v>
      </c>
      <c r="AX94" s="235">
        <v>0</v>
      </c>
      <c r="AY94" s="235">
        <v>0</v>
      </c>
      <c r="AZ94" s="235">
        <v>0</v>
      </c>
      <c r="BA94" s="235">
        <v>0</v>
      </c>
      <c r="BB94" s="235">
        <v>0</v>
      </c>
      <c r="BC94" s="235">
        <v>0</v>
      </c>
      <c r="BD94" s="235">
        <v>0</v>
      </c>
    </row>
    <row r="95" spans="2:56">
      <c r="B95" s="236">
        <v>48</v>
      </c>
      <c r="C95" s="235">
        <v>1.3797148683209319</v>
      </c>
      <c r="D95" s="235">
        <v>1.4233141623190633</v>
      </c>
      <c r="E95" s="235">
        <v>1.4669502630903795</v>
      </c>
      <c r="F95" s="235">
        <v>1.5109308400436494</v>
      </c>
      <c r="G95" s="235">
        <v>1.555247789301845</v>
      </c>
      <c r="H95" s="235">
        <v>1.5999863014328226</v>
      </c>
      <c r="I95" s="235">
        <v>1.6452332262278158</v>
      </c>
      <c r="J95" s="235">
        <v>1.6912552179646922</v>
      </c>
      <c r="K95" s="235">
        <v>1.7382117324100894</v>
      </c>
      <c r="L95" s="235">
        <v>1.7860635753633529</v>
      </c>
      <c r="M95" s="235">
        <v>1.8347718496549572</v>
      </c>
      <c r="N95" s="235">
        <v>1.8843628579522895</v>
      </c>
      <c r="O95" s="235">
        <v>1.9349397161189816</v>
      </c>
      <c r="P95" s="235">
        <v>1.9865451728753272</v>
      </c>
      <c r="Q95" s="235">
        <v>2.039098077231646</v>
      </c>
      <c r="R95" s="235">
        <v>2.0924637367634609</v>
      </c>
      <c r="S95" s="235">
        <v>2.1466182952153878</v>
      </c>
      <c r="T95" s="235">
        <v>2.2016072488346099</v>
      </c>
      <c r="U95" s="235">
        <v>0</v>
      </c>
      <c r="V95" s="235">
        <v>0</v>
      </c>
      <c r="W95" s="235">
        <v>0</v>
      </c>
      <c r="X95" s="235">
        <v>0</v>
      </c>
      <c r="Y95" s="235">
        <v>0</v>
      </c>
      <c r="Z95" s="235">
        <v>0</v>
      </c>
      <c r="AA95" s="235">
        <v>0</v>
      </c>
      <c r="AB95" s="235">
        <v>0</v>
      </c>
      <c r="AD95" s="236">
        <v>48</v>
      </c>
      <c r="AE95" s="235">
        <v>0.90303721649145119</v>
      </c>
      <c r="AF95" s="235">
        <v>0.93270092942370464</v>
      </c>
      <c r="AG95" s="235">
        <v>0.96288355724419161</v>
      </c>
      <c r="AH95" s="235">
        <v>0.99362982628262919</v>
      </c>
      <c r="AI95" s="235">
        <v>1.0249371371973759</v>
      </c>
      <c r="AJ95" s="235">
        <v>1.0568214328444003</v>
      </c>
      <c r="AK95" s="235">
        <v>1.0893326567858164</v>
      </c>
      <c r="AL95" s="235">
        <v>1.1226853252228008</v>
      </c>
      <c r="AM95" s="235">
        <v>1.1570897452083013</v>
      </c>
      <c r="AN95" s="235">
        <v>1.192639462259405</v>
      </c>
      <c r="AO95" s="235">
        <v>1.2294607908193715</v>
      </c>
      <c r="AP95" s="235">
        <v>1.2677068920621024</v>
      </c>
      <c r="AQ95" s="235">
        <v>1.3076097680975269</v>
      </c>
      <c r="AR95" s="235">
        <v>1.3493596720412655</v>
      </c>
      <c r="AS95" s="235">
        <v>1.3930417268053832</v>
      </c>
      <c r="AT95" s="235">
        <v>1.4387245154756196</v>
      </c>
      <c r="AU95" s="235">
        <v>1.4865760407740751</v>
      </c>
      <c r="AV95" s="235">
        <v>1.5368031755726164</v>
      </c>
      <c r="AW95" s="235">
        <v>0</v>
      </c>
      <c r="AX95" s="235">
        <v>0</v>
      </c>
      <c r="AY95" s="235">
        <v>0</v>
      </c>
      <c r="AZ95" s="235">
        <v>0</v>
      </c>
      <c r="BA95" s="235">
        <v>0</v>
      </c>
      <c r="BB95" s="235">
        <v>0</v>
      </c>
      <c r="BC95" s="235">
        <v>0</v>
      </c>
      <c r="BD95" s="235">
        <v>0</v>
      </c>
    </row>
    <row r="96" spans="2:56">
      <c r="B96" s="236">
        <v>49</v>
      </c>
      <c r="C96" s="235">
        <v>1.4729264986145014</v>
      </c>
      <c r="D96" s="235">
        <v>1.5173772604871885</v>
      </c>
      <c r="E96" s="235">
        <v>1.5622866353577383</v>
      </c>
      <c r="F96" s="235">
        <v>1.6076144506128967</v>
      </c>
      <c r="G96" s="235">
        <v>1.6534409243827468</v>
      </c>
      <c r="H96" s="235">
        <v>1.6998511763368931</v>
      </c>
      <c r="I96" s="235">
        <v>1.7471325620041356</v>
      </c>
      <c r="J96" s="235">
        <v>1.7954495421877024</v>
      </c>
      <c r="K96" s="235">
        <v>1.8447482251217038</v>
      </c>
      <c r="L96" s="235">
        <v>1.8949794108284277</v>
      </c>
      <c r="M96" s="235">
        <v>1.9461678431132736</v>
      </c>
      <c r="N96" s="235">
        <v>1.9984227845471683</v>
      </c>
      <c r="O96" s="235">
        <v>2.0517878812624448</v>
      </c>
      <c r="P96" s="235">
        <v>2.1061736683326937</v>
      </c>
      <c r="Q96" s="235">
        <v>2.1614345644752424</v>
      </c>
      <c r="R96" s="235">
        <v>2.217545821928367</v>
      </c>
      <c r="S96" s="235">
        <v>2.2745574471554066</v>
      </c>
      <c r="T96" s="235">
        <v>0</v>
      </c>
      <c r="U96" s="235">
        <v>0</v>
      </c>
      <c r="V96" s="235">
        <v>0</v>
      </c>
      <c r="W96" s="235">
        <v>0</v>
      </c>
      <c r="X96" s="235">
        <v>0</v>
      </c>
      <c r="Y96" s="235">
        <v>0</v>
      </c>
      <c r="Z96" s="235">
        <v>0</v>
      </c>
      <c r="AA96" s="235">
        <v>0</v>
      </c>
      <c r="AB96" s="235">
        <v>0</v>
      </c>
      <c r="AD96" s="236">
        <v>49</v>
      </c>
      <c r="AE96" s="235">
        <v>0.96475667371516149</v>
      </c>
      <c r="AF96" s="235">
        <v>0.99570611051740054</v>
      </c>
      <c r="AG96" s="235">
        <v>1.027264638617144</v>
      </c>
      <c r="AH96" s="235">
        <v>1.0594208590049687</v>
      </c>
      <c r="AI96" s="235">
        <v>1.0921885557444329</v>
      </c>
      <c r="AJ96" s="235">
        <v>1.1256207840334052</v>
      </c>
      <c r="AK96" s="235">
        <v>1.1599530122218829</v>
      </c>
      <c r="AL96" s="235">
        <v>1.1954108307680995</v>
      </c>
      <c r="AM96" s="235">
        <v>1.2320887474752806</v>
      </c>
      <c r="AN96" s="235">
        <v>1.2701176158811629</v>
      </c>
      <c r="AO96" s="235">
        <v>1.3096573470156458</v>
      </c>
      <c r="AP96" s="235">
        <v>1.3509528443642012</v>
      </c>
      <c r="AQ96" s="235">
        <v>1.3942026574716606</v>
      </c>
      <c r="AR96" s="235">
        <v>1.4394919492946263</v>
      </c>
      <c r="AS96" s="235">
        <v>1.4868890233065875</v>
      </c>
      <c r="AT96" s="235">
        <v>1.5365695470699627</v>
      </c>
      <c r="AU96" s="235">
        <v>1.5887506189923792</v>
      </c>
      <c r="AV96" s="235">
        <v>0</v>
      </c>
      <c r="AW96" s="235">
        <v>0</v>
      </c>
      <c r="AX96" s="235">
        <v>0</v>
      </c>
      <c r="AY96" s="235">
        <v>0</v>
      </c>
      <c r="AZ96" s="235">
        <v>0</v>
      </c>
      <c r="BA96" s="235">
        <v>0</v>
      </c>
      <c r="BB96" s="235">
        <v>0</v>
      </c>
      <c r="BC96" s="235">
        <v>0</v>
      </c>
      <c r="BD96" s="235">
        <v>0</v>
      </c>
    </row>
    <row r="97" spans="2:56">
      <c r="B97" s="236">
        <v>50</v>
      </c>
      <c r="C97" s="235">
        <v>1.5723767351860982</v>
      </c>
      <c r="D97" s="235">
        <v>1.6175664767352733</v>
      </c>
      <c r="E97" s="235">
        <v>1.663470075478128</v>
      </c>
      <c r="F97" s="235">
        <v>1.7100822122233499</v>
      </c>
      <c r="G97" s="235">
        <v>1.7574422962983292</v>
      </c>
      <c r="H97" s="235">
        <v>1.8058367012665248</v>
      </c>
      <c r="I97" s="235">
        <v>1.8554182891007858</v>
      </c>
      <c r="J97" s="235">
        <v>1.9061040708157988</v>
      </c>
      <c r="K97" s="235">
        <v>1.957825289683097</v>
      </c>
      <c r="L97" s="235">
        <v>2.0105998526690589</v>
      </c>
      <c r="M97" s="235">
        <v>2.0645404503218145</v>
      </c>
      <c r="N97" s="235">
        <v>2.11968897108077</v>
      </c>
      <c r="O97" s="235">
        <v>2.1759445036897214</v>
      </c>
      <c r="P97" s="235">
        <v>2.2331478313995476</v>
      </c>
      <c r="Q97" s="235">
        <v>2.2912723043029315</v>
      </c>
      <c r="R97" s="235">
        <v>2.3503722716996132</v>
      </c>
      <c r="S97" s="235">
        <v>0</v>
      </c>
      <c r="T97" s="235">
        <v>0</v>
      </c>
      <c r="U97" s="235">
        <v>0</v>
      </c>
      <c r="V97" s="235">
        <v>0</v>
      </c>
      <c r="W97" s="235">
        <v>0</v>
      </c>
      <c r="X97" s="235">
        <v>0</v>
      </c>
      <c r="Y97" s="235">
        <v>0</v>
      </c>
      <c r="Z97" s="235">
        <v>0</v>
      </c>
      <c r="AA97" s="235">
        <v>0</v>
      </c>
      <c r="AB97" s="235">
        <v>0</v>
      </c>
      <c r="AD97" s="236">
        <v>50</v>
      </c>
      <c r="AE97" s="235">
        <v>1.0316247754197905</v>
      </c>
      <c r="AF97" s="235">
        <v>1.0636335880882954</v>
      </c>
      <c r="AG97" s="235">
        <v>1.0963930498822929</v>
      </c>
      <c r="AH97" s="235">
        <v>1.1298709811884275</v>
      </c>
      <c r="AI97" s="235">
        <v>1.164100418512316</v>
      </c>
      <c r="AJ97" s="235">
        <v>1.1993275921722328</v>
      </c>
      <c r="AK97" s="235">
        <v>1.2357859228664958</v>
      </c>
      <c r="AL97" s="235">
        <v>1.2735635376850096</v>
      </c>
      <c r="AM97" s="235">
        <v>1.3127913502906703</v>
      </c>
      <c r="AN97" s="235">
        <v>1.353633202817536</v>
      </c>
      <c r="AO97" s="235">
        <v>1.3963457580678027</v>
      </c>
      <c r="AP97" s="235">
        <v>1.4411344919348874</v>
      </c>
      <c r="AQ97" s="235">
        <v>1.4880826219338057</v>
      </c>
      <c r="AR97" s="235">
        <v>1.5372566407475783</v>
      </c>
      <c r="AS97" s="235">
        <v>1.5888396196110788</v>
      </c>
      <c r="AT97" s="235">
        <v>1.6430590313824243</v>
      </c>
      <c r="AU97" s="235">
        <v>0</v>
      </c>
      <c r="AV97" s="235">
        <v>0</v>
      </c>
      <c r="AW97" s="235">
        <v>0</v>
      </c>
      <c r="AX97" s="235">
        <v>0</v>
      </c>
      <c r="AY97" s="235">
        <v>0</v>
      </c>
      <c r="AZ97" s="235">
        <v>0</v>
      </c>
      <c r="BA97" s="235">
        <v>0</v>
      </c>
      <c r="BB97" s="235">
        <v>0</v>
      </c>
      <c r="BC97" s="235">
        <v>0</v>
      </c>
      <c r="BD97" s="235">
        <v>0</v>
      </c>
    </row>
    <row r="98" spans="2:56">
      <c r="B98" s="236">
        <v>51</v>
      </c>
      <c r="C98" s="235">
        <v>1.6661844396788987</v>
      </c>
      <c r="D98" s="235">
        <v>1.7135532689082336</v>
      </c>
      <c r="E98" s="235">
        <v>1.7616471747027043</v>
      </c>
      <c r="F98" s="235">
        <v>1.8105215970756683</v>
      </c>
      <c r="G98" s="235">
        <v>1.8605064085872229</v>
      </c>
      <c r="H98" s="235">
        <v>1.911767484623909</v>
      </c>
      <c r="I98" s="235">
        <v>1.964205168897394</v>
      </c>
      <c r="J98" s="235">
        <v>2.0177410730650025</v>
      </c>
      <c r="K98" s="235">
        <v>2.07239518814534</v>
      </c>
      <c r="L98" s="235">
        <v>2.1282916057922789</v>
      </c>
      <c r="M98" s="235">
        <v>2.1854756553146175</v>
      </c>
      <c r="N98" s="235">
        <v>2.243837652097934</v>
      </c>
      <c r="O98" s="235">
        <v>2.3032065118388307</v>
      </c>
      <c r="P98" s="235">
        <v>2.3635564810093439</v>
      </c>
      <c r="Q98" s="235">
        <v>2.4249492294300943</v>
      </c>
      <c r="R98" s="235">
        <v>0</v>
      </c>
      <c r="S98" s="235">
        <v>0</v>
      </c>
      <c r="T98" s="235">
        <v>0</v>
      </c>
      <c r="U98" s="235">
        <v>0</v>
      </c>
      <c r="V98" s="235">
        <v>0</v>
      </c>
      <c r="W98" s="235">
        <v>0</v>
      </c>
      <c r="X98" s="235">
        <v>0</v>
      </c>
      <c r="Y98" s="235">
        <v>0</v>
      </c>
      <c r="Z98" s="235">
        <v>0</v>
      </c>
      <c r="AA98" s="235">
        <v>0</v>
      </c>
      <c r="AB98" s="235">
        <v>0</v>
      </c>
      <c r="AD98" s="236">
        <v>51</v>
      </c>
      <c r="AE98" s="235">
        <v>1.0969784388145774</v>
      </c>
      <c r="AF98" s="235">
        <v>1.1308215007519675</v>
      </c>
      <c r="AG98" s="235">
        <v>1.1653842979766347</v>
      </c>
      <c r="AH98" s="235">
        <v>1.2007148529162612</v>
      </c>
      <c r="AI98" s="235">
        <v>1.237096578276804</v>
      </c>
      <c r="AJ98" s="235">
        <v>1.2747860556340982</v>
      </c>
      <c r="AK98" s="235">
        <v>1.3138722145107786</v>
      </c>
      <c r="AL98" s="235">
        <v>1.3544919489724971</v>
      </c>
      <c r="AM98" s="235">
        <v>1.3968177944666866</v>
      </c>
      <c r="AN98" s="235">
        <v>1.4411228042937232</v>
      </c>
      <c r="AO98" s="235">
        <v>1.4876221970345427</v>
      </c>
      <c r="AP98" s="235">
        <v>1.536398284043577</v>
      </c>
      <c r="AQ98" s="235">
        <v>1.5875166112363603</v>
      </c>
      <c r="AR98" s="235">
        <v>1.6411694698295225</v>
      </c>
      <c r="AS98" s="235">
        <v>1.6975965623683813</v>
      </c>
      <c r="AT98" s="235">
        <v>0</v>
      </c>
      <c r="AU98" s="235">
        <v>0</v>
      </c>
      <c r="AV98" s="235">
        <v>0</v>
      </c>
      <c r="AW98" s="235">
        <v>0</v>
      </c>
      <c r="AX98" s="235">
        <v>0</v>
      </c>
      <c r="AY98" s="235">
        <v>0</v>
      </c>
      <c r="AZ98" s="235">
        <v>0</v>
      </c>
      <c r="BA98" s="235">
        <v>0</v>
      </c>
      <c r="BB98" s="235">
        <v>0</v>
      </c>
      <c r="BC98" s="235">
        <v>0</v>
      </c>
      <c r="BD98" s="235">
        <v>0</v>
      </c>
    </row>
    <row r="99" spans="2:56">
      <c r="B99" s="236">
        <v>52</v>
      </c>
      <c r="C99" s="235">
        <v>1.7648726054324848</v>
      </c>
      <c r="D99" s="235">
        <v>1.8144811326432899</v>
      </c>
      <c r="E99" s="235">
        <v>1.8649074222885713</v>
      </c>
      <c r="F99" s="235">
        <v>1.9165350152883864</v>
      </c>
      <c r="G99" s="235">
        <v>1.9695417455459381</v>
      </c>
      <c r="H99" s="235">
        <v>2.0238046729708516</v>
      </c>
      <c r="I99" s="235">
        <v>2.0792329020598079</v>
      </c>
      <c r="J99" s="235">
        <v>2.1358486505389958</v>
      </c>
      <c r="K99" s="235">
        <v>2.1937891003417715</v>
      </c>
      <c r="L99" s="235">
        <v>2.2531031480035844</v>
      </c>
      <c r="M99" s="235">
        <v>2.3136707883314074</v>
      </c>
      <c r="N99" s="235">
        <v>2.3753075019658669</v>
      </c>
      <c r="O99" s="235">
        <v>2.43798886666116</v>
      </c>
      <c r="P99" s="235">
        <v>2.5017850517045512</v>
      </c>
      <c r="Q99" s="235">
        <v>0</v>
      </c>
      <c r="R99" s="235">
        <v>0</v>
      </c>
      <c r="S99" s="235">
        <v>0</v>
      </c>
      <c r="T99" s="235">
        <v>0</v>
      </c>
      <c r="U99" s="235">
        <v>0</v>
      </c>
      <c r="V99" s="235">
        <v>0</v>
      </c>
      <c r="W99" s="235">
        <v>0</v>
      </c>
      <c r="X99" s="235">
        <v>0</v>
      </c>
      <c r="Y99" s="235">
        <v>0</v>
      </c>
      <c r="Z99" s="235">
        <v>0</v>
      </c>
      <c r="AA99" s="235">
        <v>0</v>
      </c>
      <c r="AB99" s="235">
        <v>0</v>
      </c>
      <c r="AD99" s="236">
        <v>52</v>
      </c>
      <c r="AE99" s="235">
        <v>1.1664506256075853</v>
      </c>
      <c r="AF99" s="235">
        <v>1.202105339256071</v>
      </c>
      <c r="AG99" s="235">
        <v>1.2385491927077965</v>
      </c>
      <c r="AH99" s="235">
        <v>1.2761107059534726</v>
      </c>
      <c r="AI99" s="235">
        <v>1.3150709894175623</v>
      </c>
      <c r="AJ99" s="235">
        <v>1.3555161433249869</v>
      </c>
      <c r="AK99" s="235">
        <v>1.3975877420949916</v>
      </c>
      <c r="AL99" s="235">
        <v>1.441466681644699</v>
      </c>
      <c r="AM99" s="235">
        <v>1.487443489731501</v>
      </c>
      <c r="AN99" s="235">
        <v>1.5357430315001248</v>
      </c>
      <c r="AO99" s="235">
        <v>1.5864452682298469</v>
      </c>
      <c r="AP99" s="235">
        <v>1.6396137745791566</v>
      </c>
      <c r="AQ99" s="235">
        <v>1.6954506119079547</v>
      </c>
      <c r="AR99" s="235">
        <v>1.7542086014645319</v>
      </c>
      <c r="AS99" s="235">
        <v>0</v>
      </c>
      <c r="AT99" s="235">
        <v>0</v>
      </c>
      <c r="AU99" s="235">
        <v>0</v>
      </c>
      <c r="AV99" s="235">
        <v>0</v>
      </c>
      <c r="AW99" s="235">
        <v>0</v>
      </c>
      <c r="AX99" s="235">
        <v>0</v>
      </c>
      <c r="AY99" s="235">
        <v>0</v>
      </c>
      <c r="AZ99" s="235">
        <v>0</v>
      </c>
      <c r="BA99" s="235">
        <v>0</v>
      </c>
      <c r="BB99" s="235">
        <v>0</v>
      </c>
      <c r="BC99" s="235">
        <v>0</v>
      </c>
      <c r="BD99" s="235">
        <v>0</v>
      </c>
    </row>
    <row r="100" spans="2:56">
      <c r="B100" s="236">
        <v>53</v>
      </c>
      <c r="C100" s="235">
        <v>1.8685531048927675</v>
      </c>
      <c r="D100" s="235">
        <v>1.9205683836599439</v>
      </c>
      <c r="E100" s="235">
        <v>1.973896754311836</v>
      </c>
      <c r="F100" s="235">
        <v>2.0287243345919421</v>
      </c>
      <c r="G100" s="235">
        <v>2.0848949760642155</v>
      </c>
      <c r="H100" s="235">
        <v>2.1423015434317154</v>
      </c>
      <c r="I100" s="235">
        <v>2.2009689091446303</v>
      </c>
      <c r="J100" s="235">
        <v>2.261049622032016</v>
      </c>
      <c r="K100" s="235">
        <v>2.3225963249350938</v>
      </c>
      <c r="L100" s="235">
        <v>2.3854768279562415</v>
      </c>
      <c r="M100" s="235">
        <v>2.4494913753606617</v>
      </c>
      <c r="N100" s="235">
        <v>2.5146175210931463</v>
      </c>
      <c r="O100" s="235">
        <v>2.5809354150264019</v>
      </c>
      <c r="P100" s="235">
        <v>0</v>
      </c>
      <c r="Q100" s="235">
        <v>0</v>
      </c>
      <c r="R100" s="235">
        <v>0</v>
      </c>
      <c r="S100" s="235">
        <v>0</v>
      </c>
      <c r="T100" s="235">
        <v>0</v>
      </c>
      <c r="U100" s="235">
        <v>0</v>
      </c>
      <c r="V100" s="235">
        <v>0</v>
      </c>
      <c r="W100" s="235">
        <v>0</v>
      </c>
      <c r="X100" s="235">
        <v>0</v>
      </c>
      <c r="Y100" s="235">
        <v>0</v>
      </c>
      <c r="Z100" s="235">
        <v>0</v>
      </c>
      <c r="AA100" s="235">
        <v>0</v>
      </c>
      <c r="AB100" s="235">
        <v>0</v>
      </c>
      <c r="AD100" s="236">
        <v>53</v>
      </c>
      <c r="AE100" s="235">
        <v>1.2399794073437844</v>
      </c>
      <c r="AF100" s="235">
        <v>1.2775472672138948</v>
      </c>
      <c r="AG100" s="235">
        <v>1.3163180857290577</v>
      </c>
      <c r="AH100" s="235">
        <v>1.356597242715013</v>
      </c>
      <c r="AI100" s="235">
        <v>1.3984618086798413</v>
      </c>
      <c r="AJ100" s="235">
        <v>1.4420559003760896</v>
      </c>
      <c r="AK100" s="235">
        <v>1.487568176443951</v>
      </c>
      <c r="AL100" s="235">
        <v>1.5353079076696383</v>
      </c>
      <c r="AM100" s="235">
        <v>1.5855093707406258</v>
      </c>
      <c r="AN100" s="235">
        <v>1.6382483499921132</v>
      </c>
      <c r="AO100" s="235">
        <v>1.6935852327797747</v>
      </c>
      <c r="AP100" s="235">
        <v>1.7517325610767418</v>
      </c>
      <c r="AQ100" s="235">
        <v>1.8129573552744418</v>
      </c>
      <c r="AR100" s="235">
        <v>0</v>
      </c>
      <c r="AS100" s="235">
        <v>0</v>
      </c>
      <c r="AT100" s="235">
        <v>0</v>
      </c>
      <c r="AU100" s="235">
        <v>0</v>
      </c>
      <c r="AV100" s="235">
        <v>0</v>
      </c>
      <c r="AW100" s="235">
        <v>0</v>
      </c>
      <c r="AX100" s="235">
        <v>0</v>
      </c>
      <c r="AY100" s="235">
        <v>0</v>
      </c>
      <c r="AZ100" s="235">
        <v>0</v>
      </c>
      <c r="BA100" s="235">
        <v>0</v>
      </c>
      <c r="BB100" s="235">
        <v>0</v>
      </c>
      <c r="BC100" s="235">
        <v>0</v>
      </c>
      <c r="BD100" s="235">
        <v>0</v>
      </c>
    </row>
    <row r="101" spans="2:56">
      <c r="B101" s="236">
        <v>54</v>
      </c>
      <c r="C101" s="235">
        <v>1.9775321147144884</v>
      </c>
      <c r="D101" s="235">
        <v>2.0326192438909154</v>
      </c>
      <c r="E101" s="235">
        <v>2.0893498041728025</v>
      </c>
      <c r="F101" s="235">
        <v>2.1475182254013689</v>
      </c>
      <c r="G101" s="235">
        <v>2.2069959765153113</v>
      </c>
      <c r="H101" s="235">
        <v>2.2678114158660732</v>
      </c>
      <c r="I101" s="235">
        <v>2.3301355088287448</v>
      </c>
      <c r="J101" s="235">
        <v>2.3940248224740066</v>
      </c>
      <c r="K101" s="235">
        <v>2.4593326506242423</v>
      </c>
      <c r="L101" s="235">
        <v>2.5258418826336078</v>
      </c>
      <c r="M101" s="235">
        <v>2.5935329615760958</v>
      </c>
      <c r="N101" s="235">
        <v>2.6624978687160219</v>
      </c>
      <c r="O101" s="235">
        <v>0</v>
      </c>
      <c r="P101" s="235">
        <v>0</v>
      </c>
      <c r="Q101" s="235">
        <v>0</v>
      </c>
      <c r="R101" s="235">
        <v>0</v>
      </c>
      <c r="S101" s="235">
        <v>0</v>
      </c>
      <c r="T101" s="235">
        <v>0</v>
      </c>
      <c r="U101" s="235">
        <v>0</v>
      </c>
      <c r="V101" s="235">
        <v>0</v>
      </c>
      <c r="W101" s="235">
        <v>0</v>
      </c>
      <c r="X101" s="235">
        <v>0</v>
      </c>
      <c r="Y101" s="235">
        <v>0</v>
      </c>
      <c r="Z101" s="235">
        <v>0</v>
      </c>
      <c r="AA101" s="235">
        <v>0</v>
      </c>
      <c r="AB101" s="235">
        <v>0</v>
      </c>
      <c r="AD101" s="236">
        <v>54</v>
      </c>
      <c r="AE101" s="235">
        <v>1.3176561986183346</v>
      </c>
      <c r="AF101" s="235">
        <v>1.3576724775395794</v>
      </c>
      <c r="AG101" s="235">
        <v>1.3993310097580045</v>
      </c>
      <c r="AH101" s="235">
        <v>1.4426891568728781</v>
      </c>
      <c r="AI101" s="235">
        <v>1.4878903103279335</v>
      </c>
      <c r="AJ101" s="235">
        <v>1.5351300834043087</v>
      </c>
      <c r="AK101" s="235">
        <v>1.5847381417779658</v>
      </c>
      <c r="AL101" s="235">
        <v>1.6369578249421257</v>
      </c>
      <c r="AM101" s="235">
        <v>1.691858473402722</v>
      </c>
      <c r="AN101" s="235">
        <v>1.7494958941042611</v>
      </c>
      <c r="AO101" s="235">
        <v>1.810094085609927</v>
      </c>
      <c r="AP101" s="235">
        <v>1.8739356268687741</v>
      </c>
      <c r="AQ101" s="235">
        <v>0</v>
      </c>
      <c r="AR101" s="235">
        <v>0</v>
      </c>
      <c r="AS101" s="235">
        <v>0</v>
      </c>
      <c r="AT101" s="235">
        <v>0</v>
      </c>
      <c r="AU101" s="235">
        <v>0</v>
      </c>
      <c r="AV101" s="235">
        <v>0</v>
      </c>
      <c r="AW101" s="235">
        <v>0</v>
      </c>
      <c r="AX101" s="235">
        <v>0</v>
      </c>
      <c r="AY101" s="235">
        <v>0</v>
      </c>
      <c r="AZ101" s="235">
        <v>0</v>
      </c>
      <c r="BA101" s="235">
        <v>0</v>
      </c>
      <c r="BB101" s="235">
        <v>0</v>
      </c>
      <c r="BC101" s="235">
        <v>0</v>
      </c>
      <c r="BD101" s="235">
        <v>0</v>
      </c>
    </row>
    <row r="102" spans="2:56">
      <c r="B102" s="236">
        <v>55</v>
      </c>
      <c r="C102" s="235">
        <v>2.0925845159076046</v>
      </c>
      <c r="D102" s="235">
        <v>2.1513317158048482</v>
      </c>
      <c r="E102" s="235">
        <v>2.2116133840910916</v>
      </c>
      <c r="F102" s="235">
        <v>2.2732748464837709</v>
      </c>
      <c r="G102" s="235">
        <v>2.336351011491383</v>
      </c>
      <c r="H102" s="235">
        <v>2.4010363302285729</v>
      </c>
      <c r="I102" s="235">
        <v>2.4673919831153346</v>
      </c>
      <c r="J102" s="235">
        <v>2.5352541355639846</v>
      </c>
      <c r="K102" s="235">
        <v>2.6043860624772974</v>
      </c>
      <c r="L102" s="235">
        <v>2.6747725710032313</v>
      </c>
      <c r="M102" s="235">
        <v>2.7465199379388325</v>
      </c>
      <c r="N102" s="235">
        <v>0</v>
      </c>
      <c r="O102" s="235">
        <v>0</v>
      </c>
      <c r="P102" s="235">
        <v>0</v>
      </c>
      <c r="Q102" s="235">
        <v>0</v>
      </c>
      <c r="R102" s="235">
        <v>0</v>
      </c>
      <c r="S102" s="235">
        <v>0</v>
      </c>
      <c r="T102" s="235">
        <v>0</v>
      </c>
      <c r="U102" s="235">
        <v>0</v>
      </c>
      <c r="V102" s="235">
        <v>0</v>
      </c>
      <c r="W102" s="235">
        <v>0</v>
      </c>
      <c r="X102" s="235">
        <v>0</v>
      </c>
      <c r="Y102" s="235">
        <v>0</v>
      </c>
      <c r="Z102" s="235">
        <v>0</v>
      </c>
      <c r="AA102" s="235">
        <v>0</v>
      </c>
      <c r="AB102" s="235">
        <v>0</v>
      </c>
      <c r="AD102" s="236">
        <v>55</v>
      </c>
      <c r="AE102" s="235">
        <v>1.4000197603398168</v>
      </c>
      <c r="AF102" s="235">
        <v>1.4431550361502099</v>
      </c>
      <c r="AG102" s="235">
        <v>1.4881128359854441</v>
      </c>
      <c r="AH102" s="235">
        <v>1.5350332188840303</v>
      </c>
      <c r="AI102" s="235">
        <v>1.5841191376762789</v>
      </c>
      <c r="AJ102" s="235">
        <v>1.6357237678954879</v>
      </c>
      <c r="AK102" s="235">
        <v>1.690099556388039</v>
      </c>
      <c r="AL102" s="235">
        <v>1.7473069228756577</v>
      </c>
      <c r="AM102" s="235">
        <v>1.8073957644279983</v>
      </c>
      <c r="AN102" s="235">
        <v>1.8706030767766189</v>
      </c>
      <c r="AO102" s="235">
        <v>1.9372288596132237</v>
      </c>
      <c r="AP102" s="235">
        <v>0</v>
      </c>
      <c r="AQ102" s="235">
        <v>0</v>
      </c>
      <c r="AR102" s="235">
        <v>0</v>
      </c>
      <c r="AS102" s="235">
        <v>0</v>
      </c>
      <c r="AT102" s="235">
        <v>0</v>
      </c>
      <c r="AU102" s="235">
        <v>0</v>
      </c>
      <c r="AV102" s="235">
        <v>0</v>
      </c>
      <c r="AW102" s="235">
        <v>0</v>
      </c>
      <c r="AX102" s="235">
        <v>0</v>
      </c>
      <c r="AY102" s="235">
        <v>0</v>
      </c>
      <c r="AZ102" s="235">
        <v>0</v>
      </c>
      <c r="BA102" s="235">
        <v>0</v>
      </c>
      <c r="BB102" s="235">
        <v>0</v>
      </c>
      <c r="BC102" s="235">
        <v>0</v>
      </c>
      <c r="BD102" s="235">
        <v>0</v>
      </c>
    </row>
    <row r="103" spans="2:56">
      <c r="B103" s="236">
        <v>56</v>
      </c>
      <c r="C103" s="235">
        <v>2.214583213790382</v>
      </c>
      <c r="D103" s="235">
        <v>2.2771356211812059</v>
      </c>
      <c r="E103" s="235">
        <v>2.341121553241428</v>
      </c>
      <c r="F103" s="235">
        <v>2.4065919107863003</v>
      </c>
      <c r="G103" s="235">
        <v>2.4737739279442743</v>
      </c>
      <c r="H103" s="235">
        <v>2.5427353216448498</v>
      </c>
      <c r="I103" s="235">
        <v>2.6132924093751901</v>
      </c>
      <c r="J103" s="235">
        <v>2.6851866135555942</v>
      </c>
      <c r="K103" s="235">
        <v>2.7584094720034456</v>
      </c>
      <c r="L103" s="235">
        <v>2.833084885758399</v>
      </c>
      <c r="M103" s="235">
        <v>0</v>
      </c>
      <c r="N103" s="235">
        <v>0</v>
      </c>
      <c r="O103" s="235">
        <v>0</v>
      </c>
      <c r="P103" s="235">
        <v>0</v>
      </c>
      <c r="Q103" s="235">
        <v>0</v>
      </c>
      <c r="R103" s="235">
        <v>0</v>
      </c>
      <c r="S103" s="235">
        <v>0</v>
      </c>
      <c r="T103" s="235">
        <v>0</v>
      </c>
      <c r="U103" s="235">
        <v>0</v>
      </c>
      <c r="V103" s="235">
        <v>0</v>
      </c>
      <c r="W103" s="235">
        <v>0</v>
      </c>
      <c r="X103" s="235">
        <v>0</v>
      </c>
      <c r="Y103" s="235">
        <v>0</v>
      </c>
      <c r="Z103" s="235">
        <v>0</v>
      </c>
      <c r="AA103" s="235">
        <v>0</v>
      </c>
      <c r="AB103" s="235">
        <v>0</v>
      </c>
      <c r="AD103" s="236">
        <v>56</v>
      </c>
      <c r="AE103" s="235">
        <v>1.4881267791920283</v>
      </c>
      <c r="AF103" s="235">
        <v>1.5348176075726752</v>
      </c>
      <c r="AG103" s="235">
        <v>1.583591283784245</v>
      </c>
      <c r="AH103" s="235">
        <v>1.6346606921522038</v>
      </c>
      <c r="AI103" s="235">
        <v>1.6884077806216364</v>
      </c>
      <c r="AJ103" s="235">
        <v>1.7450945253010588</v>
      </c>
      <c r="AK103" s="235">
        <v>1.8047695097737619</v>
      </c>
      <c r="AL103" s="235">
        <v>1.8674753952445726</v>
      </c>
      <c r="AM103" s="235">
        <v>1.9334643933797344</v>
      </c>
      <c r="AN103" s="235">
        <v>2.0030563545311146</v>
      </c>
      <c r="AO103" s="235">
        <v>0</v>
      </c>
      <c r="AP103" s="235">
        <v>0</v>
      </c>
      <c r="AQ103" s="235">
        <v>0</v>
      </c>
      <c r="AR103" s="235">
        <v>0</v>
      </c>
      <c r="AS103" s="235">
        <v>0</v>
      </c>
      <c r="AT103" s="235">
        <v>0</v>
      </c>
      <c r="AU103" s="235">
        <v>0</v>
      </c>
      <c r="AV103" s="235">
        <v>0</v>
      </c>
      <c r="AW103" s="235">
        <v>0</v>
      </c>
      <c r="AX103" s="235">
        <v>0</v>
      </c>
      <c r="AY103" s="235">
        <v>0</v>
      </c>
      <c r="AZ103" s="235">
        <v>0</v>
      </c>
      <c r="BA103" s="235">
        <v>0</v>
      </c>
      <c r="BB103" s="235">
        <v>0</v>
      </c>
      <c r="BC103" s="235">
        <v>0</v>
      </c>
      <c r="BD103" s="235">
        <v>0</v>
      </c>
    </row>
    <row r="104" spans="2:56">
      <c r="B104" s="236">
        <v>57</v>
      </c>
      <c r="C104" s="235">
        <v>2.3444039017071634</v>
      </c>
      <c r="D104" s="235">
        <v>2.4108463780428417</v>
      </c>
      <c r="E104" s="235">
        <v>2.4788346431522568</v>
      </c>
      <c r="F104" s="235">
        <v>2.5486419772092934</v>
      </c>
      <c r="G104" s="235">
        <v>2.620344315936125</v>
      </c>
      <c r="H104" s="235">
        <v>2.6937338812376961</v>
      </c>
      <c r="I104" s="235">
        <v>2.7685271693483546</v>
      </c>
      <c r="J104" s="235">
        <v>2.844725426756888</v>
      </c>
      <c r="K104" s="235">
        <v>2.9224741714403035</v>
      </c>
      <c r="L104" s="235">
        <v>0</v>
      </c>
      <c r="M104" s="235">
        <v>0</v>
      </c>
      <c r="N104" s="235">
        <v>0</v>
      </c>
      <c r="O104" s="235">
        <v>0</v>
      </c>
      <c r="P104" s="235">
        <v>0</v>
      </c>
      <c r="Q104" s="235">
        <v>0</v>
      </c>
      <c r="R104" s="235">
        <v>0</v>
      </c>
      <c r="S104" s="235">
        <v>0</v>
      </c>
      <c r="T104" s="235">
        <v>0</v>
      </c>
      <c r="U104" s="235">
        <v>0</v>
      </c>
      <c r="V104" s="235">
        <v>0</v>
      </c>
      <c r="W104" s="235">
        <v>0</v>
      </c>
      <c r="X104" s="235">
        <v>0</v>
      </c>
      <c r="Y104" s="235">
        <v>0</v>
      </c>
      <c r="Z104" s="235">
        <v>0</v>
      </c>
      <c r="AA104" s="235">
        <v>0</v>
      </c>
      <c r="AB104" s="235">
        <v>0</v>
      </c>
      <c r="AD104" s="236">
        <v>57</v>
      </c>
      <c r="AE104" s="235">
        <v>1.5830011346046731</v>
      </c>
      <c r="AF104" s="235">
        <v>1.6337791207223331</v>
      </c>
      <c r="AG104" s="235">
        <v>1.6869826338769938</v>
      </c>
      <c r="AH104" s="235">
        <v>1.74303105896524</v>
      </c>
      <c r="AI104" s="235">
        <v>1.8021966118731425</v>
      </c>
      <c r="AJ104" s="235">
        <v>1.8645123076587706</v>
      </c>
      <c r="AK104" s="235">
        <v>1.930012169551417</v>
      </c>
      <c r="AL104" s="235">
        <v>1.9989666952185099</v>
      </c>
      <c r="AM104" s="235">
        <v>2.0717186708050837</v>
      </c>
      <c r="AN104" s="235">
        <v>0</v>
      </c>
      <c r="AO104" s="235">
        <v>0</v>
      </c>
      <c r="AP104" s="235">
        <v>0</v>
      </c>
      <c r="AQ104" s="235">
        <v>0</v>
      </c>
      <c r="AR104" s="235">
        <v>0</v>
      </c>
      <c r="AS104" s="235">
        <v>0</v>
      </c>
      <c r="AT104" s="235">
        <v>0</v>
      </c>
      <c r="AU104" s="235">
        <v>0</v>
      </c>
      <c r="AV104" s="235">
        <v>0</v>
      </c>
      <c r="AW104" s="235">
        <v>0</v>
      </c>
      <c r="AX104" s="235">
        <v>0</v>
      </c>
      <c r="AY104" s="235">
        <v>0</v>
      </c>
      <c r="AZ104" s="235">
        <v>0</v>
      </c>
      <c r="BA104" s="235">
        <v>0</v>
      </c>
      <c r="BB104" s="235">
        <v>0</v>
      </c>
      <c r="BC104" s="235">
        <v>0</v>
      </c>
      <c r="BD104" s="235">
        <v>0</v>
      </c>
    </row>
    <row r="105" spans="2:56">
      <c r="B105" s="236">
        <v>58</v>
      </c>
      <c r="C105" s="235">
        <v>2.4827383187274479</v>
      </c>
      <c r="D105" s="235">
        <v>2.5533488042644792</v>
      </c>
      <c r="E105" s="235">
        <v>2.6258977633243004</v>
      </c>
      <c r="F105" s="235">
        <v>2.7004690960410671</v>
      </c>
      <c r="G105" s="235">
        <v>2.7768236391697543</v>
      </c>
      <c r="H105" s="235">
        <v>2.8546484226263442</v>
      </c>
      <c r="I105" s="235">
        <v>2.9339581177053158</v>
      </c>
      <c r="J105" s="235">
        <v>3.0149246199282902</v>
      </c>
      <c r="K105" s="235">
        <v>0</v>
      </c>
      <c r="L105" s="235">
        <v>0</v>
      </c>
      <c r="M105" s="235">
        <v>0</v>
      </c>
      <c r="N105" s="235">
        <v>0</v>
      </c>
      <c r="O105" s="235">
        <v>0</v>
      </c>
      <c r="P105" s="235">
        <v>0</v>
      </c>
      <c r="Q105" s="235">
        <v>0</v>
      </c>
      <c r="R105" s="235">
        <v>0</v>
      </c>
      <c r="S105" s="235">
        <v>0</v>
      </c>
      <c r="T105" s="235">
        <v>0</v>
      </c>
      <c r="U105" s="235">
        <v>0</v>
      </c>
      <c r="V105" s="235">
        <v>0</v>
      </c>
      <c r="W105" s="235">
        <v>0</v>
      </c>
      <c r="X105" s="235">
        <v>0</v>
      </c>
      <c r="Y105" s="235">
        <v>0</v>
      </c>
      <c r="Z105" s="235">
        <v>0</v>
      </c>
      <c r="AA105" s="235">
        <v>0</v>
      </c>
      <c r="AB105" s="235">
        <v>0</v>
      </c>
      <c r="AD105" s="236">
        <v>58</v>
      </c>
      <c r="AE105" s="235">
        <v>1.6859224761153222</v>
      </c>
      <c r="AF105" s="235">
        <v>1.7414123170692601</v>
      </c>
      <c r="AG105" s="235">
        <v>1.7999253922809539</v>
      </c>
      <c r="AH105" s="235">
        <v>1.8617441382267628</v>
      </c>
      <c r="AI105" s="235">
        <v>1.9268803956159732</v>
      </c>
      <c r="AJ105" s="235">
        <v>1.9953577347640077</v>
      </c>
      <c r="AK105" s="235">
        <v>2.0674689854101627</v>
      </c>
      <c r="AL105" s="235">
        <v>2.1435836295645987</v>
      </c>
      <c r="AM105" s="235">
        <v>0</v>
      </c>
      <c r="AN105" s="235">
        <v>0</v>
      </c>
      <c r="AO105" s="235">
        <v>0</v>
      </c>
      <c r="AP105" s="235">
        <v>0</v>
      </c>
      <c r="AQ105" s="235">
        <v>0</v>
      </c>
      <c r="AR105" s="235">
        <v>0</v>
      </c>
      <c r="AS105" s="235">
        <v>0</v>
      </c>
      <c r="AT105" s="235">
        <v>0</v>
      </c>
      <c r="AU105" s="235">
        <v>0</v>
      </c>
      <c r="AV105" s="235">
        <v>0</v>
      </c>
      <c r="AW105" s="235">
        <v>0</v>
      </c>
      <c r="AX105" s="235">
        <v>0</v>
      </c>
      <c r="AY105" s="235">
        <v>0</v>
      </c>
      <c r="AZ105" s="235">
        <v>0</v>
      </c>
      <c r="BA105" s="235">
        <v>0</v>
      </c>
      <c r="BB105" s="235">
        <v>0</v>
      </c>
      <c r="BC105" s="235">
        <v>0</v>
      </c>
      <c r="BD105" s="235">
        <v>0</v>
      </c>
    </row>
    <row r="106" spans="2:56">
      <c r="B106" s="236">
        <v>59</v>
      </c>
      <c r="C106" s="235">
        <v>2.6304970069948057</v>
      </c>
      <c r="D106" s="235">
        <v>2.7058640429997785</v>
      </c>
      <c r="E106" s="235">
        <v>2.7834083962892215</v>
      </c>
      <c r="F106" s="235">
        <v>2.8628436623848605</v>
      </c>
      <c r="G106" s="235">
        <v>2.9438190298441036</v>
      </c>
      <c r="H106" s="235">
        <v>3.0263665118835017</v>
      </c>
      <c r="I106" s="235">
        <v>3.1106895813190922</v>
      </c>
      <c r="J106" s="235">
        <v>0</v>
      </c>
      <c r="K106" s="235">
        <v>0</v>
      </c>
      <c r="L106" s="235">
        <v>0</v>
      </c>
      <c r="M106" s="235">
        <v>0</v>
      </c>
      <c r="N106" s="235">
        <v>0</v>
      </c>
      <c r="O106" s="235">
        <v>0</v>
      </c>
      <c r="P106" s="235">
        <v>0</v>
      </c>
      <c r="Q106" s="235">
        <v>0</v>
      </c>
      <c r="R106" s="235">
        <v>0</v>
      </c>
      <c r="S106" s="235">
        <v>0</v>
      </c>
      <c r="T106" s="235">
        <v>0</v>
      </c>
      <c r="U106" s="235">
        <v>0</v>
      </c>
      <c r="V106" s="235">
        <v>0</v>
      </c>
      <c r="W106" s="235">
        <v>0</v>
      </c>
      <c r="X106" s="235">
        <v>0</v>
      </c>
      <c r="Y106" s="235">
        <v>0</v>
      </c>
      <c r="Z106" s="235">
        <v>0</v>
      </c>
      <c r="AA106" s="235">
        <v>0</v>
      </c>
      <c r="AB106" s="235">
        <v>0</v>
      </c>
      <c r="AD106" s="236">
        <v>59</v>
      </c>
      <c r="AE106" s="235">
        <v>1.79841017384503</v>
      </c>
      <c r="AF106" s="235">
        <v>1.8595336639547408</v>
      </c>
      <c r="AG106" s="235">
        <v>1.9241719564208866</v>
      </c>
      <c r="AH106" s="235">
        <v>1.992304522998297</v>
      </c>
      <c r="AI106" s="235">
        <v>2.0639408392839491</v>
      </c>
      <c r="AJ106" s="235">
        <v>2.1394007984427867</v>
      </c>
      <c r="AK106" s="235">
        <v>2.2190847211964018</v>
      </c>
      <c r="AL106" s="235">
        <v>0</v>
      </c>
      <c r="AM106" s="235">
        <v>0</v>
      </c>
      <c r="AN106" s="235">
        <v>0</v>
      </c>
      <c r="AO106" s="235">
        <v>0</v>
      </c>
      <c r="AP106" s="235">
        <v>0</v>
      </c>
      <c r="AQ106" s="235">
        <v>0</v>
      </c>
      <c r="AR106" s="235">
        <v>0</v>
      </c>
      <c r="AS106" s="235">
        <v>0</v>
      </c>
      <c r="AT106" s="235">
        <v>0</v>
      </c>
      <c r="AU106" s="235">
        <v>0</v>
      </c>
      <c r="AV106" s="235">
        <v>0</v>
      </c>
      <c r="AW106" s="235">
        <v>0</v>
      </c>
      <c r="AX106" s="235">
        <v>0</v>
      </c>
      <c r="AY106" s="235">
        <v>0</v>
      </c>
      <c r="AZ106" s="235">
        <v>0</v>
      </c>
      <c r="BA106" s="235">
        <v>0</v>
      </c>
      <c r="BB106" s="235">
        <v>0</v>
      </c>
      <c r="BC106" s="235">
        <v>0</v>
      </c>
      <c r="BD106" s="235">
        <v>0</v>
      </c>
    </row>
    <row r="107" spans="2:56">
      <c r="B107" s="236">
        <v>60</v>
      </c>
      <c r="C107" s="235">
        <v>2.7883445615644886</v>
      </c>
      <c r="D107" s="235">
        <v>2.8689938405433324</v>
      </c>
      <c r="E107" s="235">
        <v>2.9516494405371461</v>
      </c>
      <c r="F107" s="235">
        <v>3.0359127966926862</v>
      </c>
      <c r="G107" s="235">
        <v>3.1218404547719065</v>
      </c>
      <c r="H107" s="235">
        <v>3.2096750441154422</v>
      </c>
      <c r="I107" s="235">
        <v>0</v>
      </c>
      <c r="J107" s="235">
        <v>0</v>
      </c>
      <c r="K107" s="235">
        <v>0</v>
      </c>
      <c r="L107" s="235">
        <v>0</v>
      </c>
      <c r="M107" s="235">
        <v>0</v>
      </c>
      <c r="N107" s="235">
        <v>0</v>
      </c>
      <c r="O107" s="235">
        <v>0</v>
      </c>
      <c r="P107" s="235">
        <v>0</v>
      </c>
      <c r="Q107" s="235">
        <v>0</v>
      </c>
      <c r="R107" s="235">
        <v>0</v>
      </c>
      <c r="S107" s="235">
        <v>0</v>
      </c>
      <c r="T107" s="235">
        <v>0</v>
      </c>
      <c r="U107" s="235">
        <v>0</v>
      </c>
      <c r="V107" s="235">
        <v>0</v>
      </c>
      <c r="W107" s="235">
        <v>0</v>
      </c>
      <c r="X107" s="235">
        <v>0</v>
      </c>
      <c r="Y107" s="235">
        <v>0</v>
      </c>
      <c r="Z107" s="235">
        <v>0</v>
      </c>
      <c r="AA107" s="235">
        <v>0</v>
      </c>
      <c r="AB107" s="235">
        <v>0</v>
      </c>
      <c r="AD107" s="236">
        <v>60</v>
      </c>
      <c r="AE107" s="235">
        <v>1.9220293875091661</v>
      </c>
      <c r="AF107" s="235">
        <v>1.9896731892314303</v>
      </c>
      <c r="AG107" s="235">
        <v>2.0609953821778824</v>
      </c>
      <c r="AH107" s="235">
        <v>2.1359871946215083</v>
      </c>
      <c r="AI107" s="235">
        <v>2.2150028491673686</v>
      </c>
      <c r="AJ107" s="235">
        <v>2.2984790210106043</v>
      </c>
      <c r="AK107" s="235">
        <v>0</v>
      </c>
      <c r="AL107" s="235">
        <v>0</v>
      </c>
      <c r="AM107" s="235">
        <v>0</v>
      </c>
      <c r="AN107" s="235">
        <v>0</v>
      </c>
      <c r="AO107" s="235">
        <v>0</v>
      </c>
      <c r="AP107" s="235">
        <v>0</v>
      </c>
      <c r="AQ107" s="235">
        <v>0</v>
      </c>
      <c r="AR107" s="235">
        <v>0</v>
      </c>
      <c r="AS107" s="235">
        <v>0</v>
      </c>
      <c r="AT107" s="235">
        <v>0</v>
      </c>
      <c r="AU107" s="235">
        <v>0</v>
      </c>
      <c r="AV107" s="235">
        <v>0</v>
      </c>
      <c r="AW107" s="235">
        <v>0</v>
      </c>
      <c r="AX107" s="235">
        <v>0</v>
      </c>
      <c r="AY107" s="235">
        <v>0</v>
      </c>
      <c r="AZ107" s="235">
        <v>0</v>
      </c>
      <c r="BA107" s="235">
        <v>0</v>
      </c>
      <c r="BB107" s="235">
        <v>0</v>
      </c>
      <c r="BC107" s="235">
        <v>0</v>
      </c>
      <c r="BD107" s="235">
        <v>0</v>
      </c>
    </row>
    <row r="108" spans="2:56">
      <c r="B108" s="236">
        <v>61</v>
      </c>
      <c r="C108" s="235">
        <v>2.9569568465290859</v>
      </c>
      <c r="D108" s="235">
        <v>3.043025556236914</v>
      </c>
      <c r="E108" s="235">
        <v>3.1307501591965496</v>
      </c>
      <c r="F108" s="235">
        <v>3.2202282436168397</v>
      </c>
      <c r="G108" s="235">
        <v>3.3117545176250243</v>
      </c>
      <c r="H108" s="235">
        <v>0</v>
      </c>
      <c r="I108" s="235">
        <v>0</v>
      </c>
      <c r="J108" s="235">
        <v>0</v>
      </c>
      <c r="K108" s="235">
        <v>0</v>
      </c>
      <c r="L108" s="235">
        <v>0</v>
      </c>
      <c r="M108" s="235">
        <v>0</v>
      </c>
      <c r="N108" s="235">
        <v>0</v>
      </c>
      <c r="O108" s="235">
        <v>0</v>
      </c>
      <c r="P108" s="235">
        <v>0</v>
      </c>
      <c r="Q108" s="235">
        <v>0</v>
      </c>
      <c r="R108" s="235">
        <v>0</v>
      </c>
      <c r="S108" s="235">
        <v>0</v>
      </c>
      <c r="T108" s="235">
        <v>0</v>
      </c>
      <c r="U108" s="235">
        <v>0</v>
      </c>
      <c r="V108" s="235">
        <v>0</v>
      </c>
      <c r="W108" s="235">
        <v>0</v>
      </c>
      <c r="X108" s="235">
        <v>0</v>
      </c>
      <c r="Y108" s="235">
        <v>0</v>
      </c>
      <c r="Z108" s="235">
        <v>0</v>
      </c>
      <c r="AA108" s="235">
        <v>0</v>
      </c>
      <c r="AB108" s="235">
        <v>0</v>
      </c>
      <c r="AD108" s="236">
        <v>61</v>
      </c>
      <c r="AE108" s="235">
        <v>2.058336599199865</v>
      </c>
      <c r="AF108" s="235">
        <v>2.1330821118418255</v>
      </c>
      <c r="AG108" s="235">
        <v>2.2116555979835111</v>
      </c>
      <c r="AH108" s="235">
        <v>2.2944597402596694</v>
      </c>
      <c r="AI108" s="235">
        <v>2.3819763486936965</v>
      </c>
      <c r="AJ108" s="235">
        <v>0</v>
      </c>
      <c r="AK108" s="235">
        <v>0</v>
      </c>
      <c r="AL108" s="235">
        <v>0</v>
      </c>
      <c r="AM108" s="235">
        <v>0</v>
      </c>
      <c r="AN108" s="235">
        <v>0</v>
      </c>
      <c r="AO108" s="235">
        <v>0</v>
      </c>
      <c r="AP108" s="235">
        <v>0</v>
      </c>
      <c r="AQ108" s="235">
        <v>0</v>
      </c>
      <c r="AR108" s="235">
        <v>0</v>
      </c>
      <c r="AS108" s="235">
        <v>0</v>
      </c>
      <c r="AT108" s="235">
        <v>0</v>
      </c>
      <c r="AU108" s="235">
        <v>0</v>
      </c>
      <c r="AV108" s="235">
        <v>0</v>
      </c>
      <c r="AW108" s="235">
        <v>0</v>
      </c>
      <c r="AX108" s="235">
        <v>0</v>
      </c>
      <c r="AY108" s="235">
        <v>0</v>
      </c>
      <c r="AZ108" s="235">
        <v>0</v>
      </c>
      <c r="BA108" s="235">
        <v>0</v>
      </c>
      <c r="BB108" s="235">
        <v>0</v>
      </c>
      <c r="BC108" s="235">
        <v>0</v>
      </c>
      <c r="BD108" s="235">
        <v>0</v>
      </c>
    </row>
    <row r="109" spans="2:56">
      <c r="B109" s="236">
        <v>62</v>
      </c>
      <c r="C109" s="235">
        <v>3.1371699401719337</v>
      </c>
      <c r="D109" s="235">
        <v>3.2285273826617296</v>
      </c>
      <c r="E109" s="235">
        <v>3.3217226992491833</v>
      </c>
      <c r="F109" s="235">
        <v>3.4171212932150841</v>
      </c>
      <c r="G109" s="235">
        <v>0</v>
      </c>
      <c r="H109" s="235">
        <v>0</v>
      </c>
      <c r="I109" s="235">
        <v>0</v>
      </c>
      <c r="J109" s="235">
        <v>0</v>
      </c>
      <c r="K109" s="235">
        <v>0</v>
      </c>
      <c r="L109" s="235">
        <v>0</v>
      </c>
      <c r="M109" s="235">
        <v>0</v>
      </c>
      <c r="N109" s="235">
        <v>0</v>
      </c>
      <c r="O109" s="235">
        <v>0</v>
      </c>
      <c r="P109" s="235">
        <v>0</v>
      </c>
      <c r="Q109" s="235">
        <v>0</v>
      </c>
      <c r="R109" s="235">
        <v>0</v>
      </c>
      <c r="S109" s="235">
        <v>0</v>
      </c>
      <c r="T109" s="235">
        <v>0</v>
      </c>
      <c r="U109" s="235">
        <v>0</v>
      </c>
      <c r="V109" s="235">
        <v>0</v>
      </c>
      <c r="W109" s="235">
        <v>0</v>
      </c>
      <c r="X109" s="235">
        <v>0</v>
      </c>
      <c r="Y109" s="235">
        <v>0</v>
      </c>
      <c r="Z109" s="235">
        <v>0</v>
      </c>
      <c r="AA109" s="235">
        <v>0</v>
      </c>
      <c r="AB109" s="235">
        <v>0</v>
      </c>
      <c r="AD109" s="236">
        <v>62</v>
      </c>
      <c r="AE109" s="235">
        <v>2.2089778525107313</v>
      </c>
      <c r="AF109" s="235">
        <v>2.2913615863143542</v>
      </c>
      <c r="AG109" s="235">
        <v>2.3781910911091457</v>
      </c>
      <c r="AH109" s="235">
        <v>2.4700049241295812</v>
      </c>
      <c r="AI109" s="235">
        <v>0</v>
      </c>
      <c r="AJ109" s="235">
        <v>0</v>
      </c>
      <c r="AK109" s="235">
        <v>0</v>
      </c>
      <c r="AL109" s="235">
        <v>0</v>
      </c>
      <c r="AM109" s="235">
        <v>0</v>
      </c>
      <c r="AN109" s="235">
        <v>0</v>
      </c>
      <c r="AO109" s="235">
        <v>0</v>
      </c>
      <c r="AP109" s="235">
        <v>0</v>
      </c>
      <c r="AQ109" s="235">
        <v>0</v>
      </c>
      <c r="AR109" s="235">
        <v>0</v>
      </c>
      <c r="AS109" s="235">
        <v>0</v>
      </c>
      <c r="AT109" s="235">
        <v>0</v>
      </c>
      <c r="AU109" s="235">
        <v>0</v>
      </c>
      <c r="AV109" s="235">
        <v>0</v>
      </c>
      <c r="AW109" s="235">
        <v>0</v>
      </c>
      <c r="AX109" s="235">
        <v>0</v>
      </c>
      <c r="AY109" s="235">
        <v>0</v>
      </c>
      <c r="AZ109" s="235">
        <v>0</v>
      </c>
      <c r="BA109" s="235">
        <v>0</v>
      </c>
      <c r="BB109" s="235">
        <v>0</v>
      </c>
      <c r="BC109" s="235">
        <v>0</v>
      </c>
      <c r="BD109" s="235">
        <v>0</v>
      </c>
    </row>
    <row r="110" spans="2:56">
      <c r="B110" s="236">
        <v>63</v>
      </c>
      <c r="C110" s="235">
        <v>3.3295852180151035</v>
      </c>
      <c r="D110" s="235">
        <v>3.4266306652192147</v>
      </c>
      <c r="E110" s="235">
        <v>3.5260629234564691</v>
      </c>
      <c r="F110" s="235">
        <v>0</v>
      </c>
      <c r="G110" s="235">
        <v>0</v>
      </c>
      <c r="H110" s="235">
        <v>0</v>
      </c>
      <c r="I110" s="235">
        <v>0</v>
      </c>
      <c r="J110" s="235">
        <v>0</v>
      </c>
      <c r="K110" s="235">
        <v>0</v>
      </c>
      <c r="L110" s="235">
        <v>0</v>
      </c>
      <c r="M110" s="235">
        <v>0</v>
      </c>
      <c r="N110" s="235">
        <v>0</v>
      </c>
      <c r="O110" s="235">
        <v>0</v>
      </c>
      <c r="P110" s="235">
        <v>0</v>
      </c>
      <c r="Q110" s="235">
        <v>0</v>
      </c>
      <c r="R110" s="235">
        <v>0</v>
      </c>
      <c r="S110" s="235">
        <v>0</v>
      </c>
      <c r="T110" s="235">
        <v>0</v>
      </c>
      <c r="U110" s="235">
        <v>0</v>
      </c>
      <c r="V110" s="235">
        <v>0</v>
      </c>
      <c r="W110" s="235">
        <v>0</v>
      </c>
      <c r="X110" s="235">
        <v>0</v>
      </c>
      <c r="Y110" s="235">
        <v>0</v>
      </c>
      <c r="Z110" s="235">
        <v>0</v>
      </c>
      <c r="AA110" s="235">
        <v>0</v>
      </c>
      <c r="AB110" s="235">
        <v>0</v>
      </c>
      <c r="AD110" s="236">
        <v>63</v>
      </c>
      <c r="AE110" s="235">
        <v>2.3755594515151497</v>
      </c>
      <c r="AF110" s="235">
        <v>2.4666443291179303</v>
      </c>
      <c r="AG110" s="235">
        <v>2.5630153301141068</v>
      </c>
      <c r="AH110" s="235">
        <v>0</v>
      </c>
      <c r="AI110" s="235">
        <v>0</v>
      </c>
      <c r="AJ110" s="235">
        <v>0</v>
      </c>
      <c r="AK110" s="235">
        <v>0</v>
      </c>
      <c r="AL110" s="235">
        <v>0</v>
      </c>
      <c r="AM110" s="235">
        <v>0</v>
      </c>
      <c r="AN110" s="235">
        <v>0</v>
      </c>
      <c r="AO110" s="235">
        <v>0</v>
      </c>
      <c r="AP110" s="235">
        <v>0</v>
      </c>
      <c r="AQ110" s="235">
        <v>0</v>
      </c>
      <c r="AR110" s="235">
        <v>0</v>
      </c>
      <c r="AS110" s="235">
        <v>0</v>
      </c>
      <c r="AT110" s="235">
        <v>0</v>
      </c>
      <c r="AU110" s="235">
        <v>0</v>
      </c>
      <c r="AV110" s="235">
        <v>0</v>
      </c>
      <c r="AW110" s="235">
        <v>0</v>
      </c>
      <c r="AX110" s="235">
        <v>0</v>
      </c>
      <c r="AY110" s="235">
        <v>0</v>
      </c>
      <c r="AZ110" s="235">
        <v>0</v>
      </c>
      <c r="BA110" s="235">
        <v>0</v>
      </c>
      <c r="BB110" s="235">
        <v>0</v>
      </c>
      <c r="BC110" s="235">
        <v>0</v>
      </c>
      <c r="BD110" s="235">
        <v>0</v>
      </c>
    </row>
    <row r="111" spans="2:56">
      <c r="B111" s="236">
        <v>64</v>
      </c>
      <c r="C111" s="235">
        <v>3.5351501300569312</v>
      </c>
      <c r="D111" s="235">
        <v>3.6387517832955205</v>
      </c>
      <c r="E111" s="235">
        <v>0</v>
      </c>
      <c r="F111" s="235">
        <v>0</v>
      </c>
      <c r="G111" s="235">
        <v>0</v>
      </c>
      <c r="H111" s="235">
        <v>0</v>
      </c>
      <c r="I111" s="235">
        <v>0</v>
      </c>
      <c r="J111" s="235">
        <v>0</v>
      </c>
      <c r="K111" s="235">
        <v>0</v>
      </c>
      <c r="L111" s="235">
        <v>0</v>
      </c>
      <c r="M111" s="235">
        <v>0</v>
      </c>
      <c r="N111" s="235">
        <v>0</v>
      </c>
      <c r="O111" s="235">
        <v>0</v>
      </c>
      <c r="P111" s="235">
        <v>0</v>
      </c>
      <c r="Q111" s="235">
        <v>0</v>
      </c>
      <c r="R111" s="235">
        <v>0</v>
      </c>
      <c r="S111" s="235">
        <v>0</v>
      </c>
      <c r="T111" s="235">
        <v>0</v>
      </c>
      <c r="U111" s="235">
        <v>0</v>
      </c>
      <c r="V111" s="235">
        <v>0</v>
      </c>
      <c r="W111" s="235">
        <v>0</v>
      </c>
      <c r="X111" s="235">
        <v>0</v>
      </c>
      <c r="Y111" s="235">
        <v>0</v>
      </c>
      <c r="Z111" s="235">
        <v>0</v>
      </c>
      <c r="AA111" s="235">
        <v>0</v>
      </c>
      <c r="AB111" s="235">
        <v>0</v>
      </c>
      <c r="AD111" s="236">
        <v>64</v>
      </c>
      <c r="AE111" s="235">
        <v>2.5602820272753566</v>
      </c>
      <c r="AF111" s="235">
        <v>2.661463456211103</v>
      </c>
      <c r="AG111" s="235">
        <v>0</v>
      </c>
      <c r="AH111" s="235">
        <v>0</v>
      </c>
      <c r="AI111" s="235">
        <v>0</v>
      </c>
      <c r="AJ111" s="235">
        <v>0</v>
      </c>
      <c r="AK111" s="235">
        <v>0</v>
      </c>
      <c r="AL111" s="235">
        <v>0</v>
      </c>
      <c r="AM111" s="235">
        <v>0</v>
      </c>
      <c r="AN111" s="235">
        <v>0</v>
      </c>
      <c r="AO111" s="235">
        <v>0</v>
      </c>
      <c r="AP111" s="235">
        <v>0</v>
      </c>
      <c r="AQ111" s="235">
        <v>0</v>
      </c>
      <c r="AR111" s="235">
        <v>0</v>
      </c>
      <c r="AS111" s="235">
        <v>0</v>
      </c>
      <c r="AT111" s="235">
        <v>0</v>
      </c>
      <c r="AU111" s="235">
        <v>0</v>
      </c>
      <c r="AV111" s="235">
        <v>0</v>
      </c>
      <c r="AW111" s="235">
        <v>0</v>
      </c>
      <c r="AX111" s="235">
        <v>0</v>
      </c>
      <c r="AY111" s="235">
        <v>0</v>
      </c>
      <c r="AZ111" s="235">
        <v>0</v>
      </c>
      <c r="BA111" s="235">
        <v>0</v>
      </c>
      <c r="BB111" s="235">
        <v>0</v>
      </c>
      <c r="BC111" s="235">
        <v>0</v>
      </c>
      <c r="BD111" s="235">
        <v>0</v>
      </c>
    </row>
    <row r="112" spans="2:56">
      <c r="B112" s="236">
        <v>65</v>
      </c>
      <c r="C112" s="235">
        <v>3.7549087783934523</v>
      </c>
      <c r="D112" s="235">
        <v>0</v>
      </c>
      <c r="E112" s="235">
        <v>0</v>
      </c>
      <c r="F112" s="235">
        <v>0</v>
      </c>
      <c r="G112" s="235">
        <v>0</v>
      </c>
      <c r="H112" s="235">
        <v>0</v>
      </c>
      <c r="I112" s="235">
        <v>0</v>
      </c>
      <c r="J112" s="235">
        <v>0</v>
      </c>
      <c r="K112" s="235">
        <v>0</v>
      </c>
      <c r="L112" s="235">
        <v>0</v>
      </c>
      <c r="M112" s="235">
        <v>0</v>
      </c>
      <c r="N112" s="235">
        <v>0</v>
      </c>
      <c r="O112" s="235">
        <v>0</v>
      </c>
      <c r="P112" s="235">
        <v>0</v>
      </c>
      <c r="Q112" s="235">
        <v>0</v>
      </c>
      <c r="R112" s="235">
        <v>0</v>
      </c>
      <c r="S112" s="235">
        <v>0</v>
      </c>
      <c r="T112" s="235">
        <v>0</v>
      </c>
      <c r="U112" s="235">
        <v>0</v>
      </c>
      <c r="V112" s="235">
        <v>0</v>
      </c>
      <c r="W112" s="235">
        <v>0</v>
      </c>
      <c r="X112" s="235">
        <v>0</v>
      </c>
      <c r="Y112" s="235">
        <v>0</v>
      </c>
      <c r="Z112" s="235">
        <v>0</v>
      </c>
      <c r="AA112" s="235">
        <v>0</v>
      </c>
      <c r="AB112" s="235">
        <v>0</v>
      </c>
      <c r="AD112" s="236">
        <v>65</v>
      </c>
      <c r="AE112" s="235">
        <v>2.765470685214805</v>
      </c>
      <c r="AF112" s="235">
        <v>0</v>
      </c>
      <c r="AG112" s="235">
        <v>0</v>
      </c>
      <c r="AH112" s="235">
        <v>0</v>
      </c>
      <c r="AI112" s="235">
        <v>0</v>
      </c>
      <c r="AJ112" s="235">
        <v>0</v>
      </c>
      <c r="AK112" s="235">
        <v>0</v>
      </c>
      <c r="AL112" s="235">
        <v>0</v>
      </c>
      <c r="AM112" s="235">
        <v>0</v>
      </c>
      <c r="AN112" s="235">
        <v>0</v>
      </c>
      <c r="AO112" s="235">
        <v>0</v>
      </c>
      <c r="AP112" s="235">
        <v>0</v>
      </c>
      <c r="AQ112" s="235">
        <v>0</v>
      </c>
      <c r="AR112" s="235">
        <v>0</v>
      </c>
      <c r="AS112" s="235">
        <v>0</v>
      </c>
      <c r="AT112" s="235">
        <v>0</v>
      </c>
      <c r="AU112" s="235">
        <v>0</v>
      </c>
      <c r="AV112" s="235">
        <v>0</v>
      </c>
      <c r="AW112" s="235">
        <v>0</v>
      </c>
      <c r="AX112" s="235">
        <v>0</v>
      </c>
      <c r="AY112" s="235">
        <v>0</v>
      </c>
      <c r="AZ112" s="235">
        <v>0</v>
      </c>
      <c r="BA112" s="235">
        <v>0</v>
      </c>
      <c r="BB112" s="235">
        <v>0</v>
      </c>
      <c r="BC112" s="235">
        <v>0</v>
      </c>
      <c r="BD112" s="235">
        <v>0</v>
      </c>
    </row>
    <row r="113" spans="2:56">
      <c r="B113" s="236">
        <v>66</v>
      </c>
      <c r="C113" s="235">
        <v>0</v>
      </c>
      <c r="D113" s="235">
        <v>0</v>
      </c>
      <c r="E113" s="235">
        <v>0</v>
      </c>
      <c r="F113" s="235">
        <v>0</v>
      </c>
      <c r="G113" s="235">
        <v>0</v>
      </c>
      <c r="H113" s="235">
        <v>0</v>
      </c>
      <c r="I113" s="235">
        <v>0</v>
      </c>
      <c r="J113" s="235">
        <v>0</v>
      </c>
      <c r="K113" s="235">
        <v>0</v>
      </c>
      <c r="L113" s="235">
        <v>0</v>
      </c>
      <c r="M113" s="235">
        <v>0</v>
      </c>
      <c r="N113" s="235">
        <v>0</v>
      </c>
      <c r="O113" s="235">
        <v>0</v>
      </c>
      <c r="P113" s="235">
        <v>0</v>
      </c>
      <c r="Q113" s="235">
        <v>0</v>
      </c>
      <c r="R113" s="235">
        <v>0</v>
      </c>
      <c r="S113" s="235">
        <v>0</v>
      </c>
      <c r="T113" s="235">
        <v>0</v>
      </c>
      <c r="U113" s="235">
        <v>0</v>
      </c>
      <c r="V113" s="235">
        <v>0</v>
      </c>
      <c r="W113" s="235">
        <v>0</v>
      </c>
      <c r="X113" s="235">
        <v>0</v>
      </c>
      <c r="Y113" s="235">
        <v>0</v>
      </c>
      <c r="Z113" s="235">
        <v>0</v>
      </c>
      <c r="AA113" s="235">
        <v>0</v>
      </c>
      <c r="AB113" s="235">
        <v>0</v>
      </c>
      <c r="AD113" s="236">
        <v>66</v>
      </c>
      <c r="AE113" s="235">
        <v>0</v>
      </c>
      <c r="AF113" s="235">
        <v>0</v>
      </c>
      <c r="AG113" s="235">
        <v>0</v>
      </c>
      <c r="AH113" s="235">
        <v>0</v>
      </c>
      <c r="AI113" s="235">
        <v>0</v>
      </c>
      <c r="AJ113" s="235">
        <v>0</v>
      </c>
      <c r="AK113" s="235">
        <v>0</v>
      </c>
      <c r="AL113" s="235">
        <v>0</v>
      </c>
      <c r="AM113" s="235">
        <v>0</v>
      </c>
      <c r="AN113" s="235">
        <v>0</v>
      </c>
      <c r="AO113" s="235">
        <v>0</v>
      </c>
      <c r="AP113" s="235">
        <v>0</v>
      </c>
      <c r="AQ113" s="235">
        <v>0</v>
      </c>
      <c r="AR113" s="235">
        <v>0</v>
      </c>
      <c r="AS113" s="235">
        <v>0</v>
      </c>
      <c r="AT113" s="235">
        <v>0</v>
      </c>
      <c r="AU113" s="235">
        <v>0</v>
      </c>
      <c r="AV113" s="235">
        <v>0</v>
      </c>
      <c r="AW113" s="235">
        <v>0</v>
      </c>
      <c r="AX113" s="235">
        <v>0</v>
      </c>
      <c r="AY113" s="235">
        <v>0</v>
      </c>
      <c r="AZ113" s="235">
        <v>0</v>
      </c>
      <c r="BA113" s="235">
        <v>0</v>
      </c>
      <c r="BB113" s="235">
        <v>0</v>
      </c>
      <c r="BC113" s="235">
        <v>0</v>
      </c>
      <c r="BD113" s="235">
        <v>0</v>
      </c>
    </row>
    <row r="114" spans="2:56">
      <c r="B114" s="236">
        <v>67</v>
      </c>
      <c r="C114" s="235">
        <v>0</v>
      </c>
      <c r="D114" s="235">
        <v>0</v>
      </c>
      <c r="E114" s="235">
        <v>0</v>
      </c>
      <c r="F114" s="235">
        <v>0</v>
      </c>
      <c r="G114" s="235">
        <v>0</v>
      </c>
      <c r="H114" s="235">
        <v>0</v>
      </c>
      <c r="I114" s="235">
        <v>0</v>
      </c>
      <c r="J114" s="235">
        <v>0</v>
      </c>
      <c r="K114" s="235">
        <v>0</v>
      </c>
      <c r="L114" s="235">
        <v>0</v>
      </c>
      <c r="M114" s="235">
        <v>0</v>
      </c>
      <c r="N114" s="235">
        <v>0</v>
      </c>
      <c r="O114" s="235">
        <v>0</v>
      </c>
      <c r="P114" s="235">
        <v>0</v>
      </c>
      <c r="Q114" s="235">
        <v>0</v>
      </c>
      <c r="R114" s="235">
        <v>0</v>
      </c>
      <c r="S114" s="235">
        <v>0</v>
      </c>
      <c r="T114" s="235">
        <v>0</v>
      </c>
      <c r="U114" s="235">
        <v>0</v>
      </c>
      <c r="V114" s="235">
        <v>0</v>
      </c>
      <c r="W114" s="235">
        <v>0</v>
      </c>
      <c r="X114" s="235">
        <v>0</v>
      </c>
      <c r="Y114" s="235">
        <v>0</v>
      </c>
      <c r="Z114" s="235">
        <v>0</v>
      </c>
      <c r="AA114" s="235">
        <v>0</v>
      </c>
      <c r="AB114" s="235">
        <v>0</v>
      </c>
      <c r="AD114" s="236">
        <v>67</v>
      </c>
      <c r="AE114" s="235">
        <v>0</v>
      </c>
      <c r="AF114" s="235">
        <v>0</v>
      </c>
      <c r="AG114" s="235">
        <v>0</v>
      </c>
      <c r="AH114" s="235">
        <v>0</v>
      </c>
      <c r="AI114" s="235">
        <v>0</v>
      </c>
      <c r="AJ114" s="235">
        <v>0</v>
      </c>
      <c r="AK114" s="235">
        <v>0</v>
      </c>
      <c r="AL114" s="235">
        <v>0</v>
      </c>
      <c r="AM114" s="235">
        <v>0</v>
      </c>
      <c r="AN114" s="235">
        <v>0</v>
      </c>
      <c r="AO114" s="235">
        <v>0</v>
      </c>
      <c r="AP114" s="235">
        <v>0</v>
      </c>
      <c r="AQ114" s="235">
        <v>0</v>
      </c>
      <c r="AR114" s="235">
        <v>0</v>
      </c>
      <c r="AS114" s="235">
        <v>0</v>
      </c>
      <c r="AT114" s="235">
        <v>0</v>
      </c>
      <c r="AU114" s="235">
        <v>0</v>
      </c>
      <c r="AV114" s="235">
        <v>0</v>
      </c>
      <c r="AW114" s="235">
        <v>0</v>
      </c>
      <c r="AX114" s="235">
        <v>0</v>
      </c>
      <c r="AY114" s="235">
        <v>0</v>
      </c>
      <c r="AZ114" s="235">
        <v>0</v>
      </c>
      <c r="BA114" s="235">
        <v>0</v>
      </c>
      <c r="BB114" s="235">
        <v>0</v>
      </c>
      <c r="BC114" s="235">
        <v>0</v>
      </c>
      <c r="BD114" s="235">
        <v>0</v>
      </c>
    </row>
    <row r="115" spans="2:56">
      <c r="B115" s="236">
        <v>68</v>
      </c>
      <c r="C115" s="235">
        <v>0</v>
      </c>
      <c r="D115" s="235">
        <v>0</v>
      </c>
      <c r="E115" s="235">
        <v>0</v>
      </c>
      <c r="F115" s="235">
        <v>0</v>
      </c>
      <c r="G115" s="235">
        <v>0</v>
      </c>
      <c r="H115" s="235">
        <v>0</v>
      </c>
      <c r="I115" s="235">
        <v>0</v>
      </c>
      <c r="J115" s="235">
        <v>0</v>
      </c>
      <c r="K115" s="235">
        <v>0</v>
      </c>
      <c r="L115" s="235">
        <v>0</v>
      </c>
      <c r="M115" s="235">
        <v>0</v>
      </c>
      <c r="N115" s="235">
        <v>0</v>
      </c>
      <c r="O115" s="235">
        <v>0</v>
      </c>
      <c r="P115" s="235">
        <v>0</v>
      </c>
      <c r="Q115" s="235">
        <v>0</v>
      </c>
      <c r="R115" s="235">
        <v>0</v>
      </c>
      <c r="S115" s="235">
        <v>0</v>
      </c>
      <c r="T115" s="235">
        <v>0</v>
      </c>
      <c r="U115" s="235">
        <v>0</v>
      </c>
      <c r="V115" s="235">
        <v>0</v>
      </c>
      <c r="W115" s="235">
        <v>0</v>
      </c>
      <c r="X115" s="235">
        <v>0</v>
      </c>
      <c r="Y115" s="235">
        <v>0</v>
      </c>
      <c r="Z115" s="235">
        <v>0</v>
      </c>
      <c r="AA115" s="235">
        <v>0</v>
      </c>
      <c r="AB115" s="235">
        <v>0</v>
      </c>
      <c r="AD115" s="236">
        <v>68</v>
      </c>
      <c r="AE115" s="235">
        <v>0</v>
      </c>
      <c r="AF115" s="235">
        <v>0</v>
      </c>
      <c r="AG115" s="235">
        <v>0</v>
      </c>
      <c r="AH115" s="235">
        <v>0</v>
      </c>
      <c r="AI115" s="235">
        <v>0</v>
      </c>
      <c r="AJ115" s="235">
        <v>0</v>
      </c>
      <c r="AK115" s="235">
        <v>0</v>
      </c>
      <c r="AL115" s="235">
        <v>0</v>
      </c>
      <c r="AM115" s="235">
        <v>0</v>
      </c>
      <c r="AN115" s="235">
        <v>0</v>
      </c>
      <c r="AO115" s="235">
        <v>0</v>
      </c>
      <c r="AP115" s="235">
        <v>0</v>
      </c>
      <c r="AQ115" s="235">
        <v>0</v>
      </c>
      <c r="AR115" s="235">
        <v>0</v>
      </c>
      <c r="AS115" s="235">
        <v>0</v>
      </c>
      <c r="AT115" s="235">
        <v>0</v>
      </c>
      <c r="AU115" s="235">
        <v>0</v>
      </c>
      <c r="AV115" s="235">
        <v>0</v>
      </c>
      <c r="AW115" s="235">
        <v>0</v>
      </c>
      <c r="AX115" s="235">
        <v>0</v>
      </c>
      <c r="AY115" s="235">
        <v>0</v>
      </c>
      <c r="AZ115" s="235">
        <v>0</v>
      </c>
      <c r="BA115" s="235">
        <v>0</v>
      </c>
      <c r="BB115" s="235">
        <v>0</v>
      </c>
      <c r="BC115" s="235">
        <v>0</v>
      </c>
      <c r="BD115" s="235">
        <v>0</v>
      </c>
    </row>
    <row r="116" spans="2:56">
      <c r="B116" s="236">
        <v>69</v>
      </c>
      <c r="C116" s="235">
        <v>0</v>
      </c>
      <c r="D116" s="235">
        <v>0</v>
      </c>
      <c r="E116" s="235">
        <v>0</v>
      </c>
      <c r="F116" s="235">
        <v>0</v>
      </c>
      <c r="G116" s="235">
        <v>0</v>
      </c>
      <c r="H116" s="235">
        <v>0</v>
      </c>
      <c r="I116" s="235">
        <v>0</v>
      </c>
      <c r="J116" s="235">
        <v>0</v>
      </c>
      <c r="K116" s="235">
        <v>0</v>
      </c>
      <c r="L116" s="235">
        <v>0</v>
      </c>
      <c r="M116" s="235">
        <v>0</v>
      </c>
      <c r="N116" s="235">
        <v>0</v>
      </c>
      <c r="O116" s="235">
        <v>0</v>
      </c>
      <c r="P116" s="235">
        <v>0</v>
      </c>
      <c r="Q116" s="235">
        <v>0</v>
      </c>
      <c r="R116" s="235">
        <v>0</v>
      </c>
      <c r="S116" s="235">
        <v>0</v>
      </c>
      <c r="T116" s="235">
        <v>0</v>
      </c>
      <c r="U116" s="235">
        <v>0</v>
      </c>
      <c r="V116" s="235">
        <v>0</v>
      </c>
      <c r="W116" s="235">
        <v>0</v>
      </c>
      <c r="X116" s="235">
        <v>0</v>
      </c>
      <c r="Y116" s="235">
        <v>0</v>
      </c>
      <c r="Z116" s="235">
        <v>0</v>
      </c>
      <c r="AA116" s="235">
        <v>0</v>
      </c>
      <c r="AB116" s="235">
        <v>0</v>
      </c>
      <c r="AD116" s="236">
        <v>69</v>
      </c>
      <c r="AE116" s="235">
        <v>0</v>
      </c>
      <c r="AF116" s="235">
        <v>0</v>
      </c>
      <c r="AG116" s="235">
        <v>0</v>
      </c>
      <c r="AH116" s="235">
        <v>0</v>
      </c>
      <c r="AI116" s="235">
        <v>0</v>
      </c>
      <c r="AJ116" s="235">
        <v>0</v>
      </c>
      <c r="AK116" s="235">
        <v>0</v>
      </c>
      <c r="AL116" s="235">
        <v>0</v>
      </c>
      <c r="AM116" s="235">
        <v>0</v>
      </c>
      <c r="AN116" s="235">
        <v>0</v>
      </c>
      <c r="AO116" s="235">
        <v>0</v>
      </c>
      <c r="AP116" s="235">
        <v>0</v>
      </c>
      <c r="AQ116" s="235">
        <v>0</v>
      </c>
      <c r="AR116" s="235">
        <v>0</v>
      </c>
      <c r="AS116" s="235">
        <v>0</v>
      </c>
      <c r="AT116" s="235">
        <v>0</v>
      </c>
      <c r="AU116" s="235">
        <v>0</v>
      </c>
      <c r="AV116" s="235">
        <v>0</v>
      </c>
      <c r="AW116" s="235">
        <v>0</v>
      </c>
      <c r="AX116" s="235">
        <v>0</v>
      </c>
      <c r="AY116" s="235">
        <v>0</v>
      </c>
      <c r="AZ116" s="235">
        <v>0</v>
      </c>
      <c r="BA116" s="235">
        <v>0</v>
      </c>
      <c r="BB116" s="235">
        <v>0</v>
      </c>
      <c r="BC116" s="235">
        <v>0</v>
      </c>
      <c r="BD116" s="235">
        <v>0</v>
      </c>
    </row>
    <row r="117" spans="2:56">
      <c r="B117" s="236">
        <v>70</v>
      </c>
      <c r="C117" s="235">
        <v>0</v>
      </c>
      <c r="D117" s="235">
        <v>0</v>
      </c>
      <c r="E117" s="235">
        <v>0</v>
      </c>
      <c r="F117" s="235">
        <v>0</v>
      </c>
      <c r="G117" s="235">
        <v>0</v>
      </c>
      <c r="H117" s="235">
        <v>0</v>
      </c>
      <c r="I117" s="235">
        <v>0</v>
      </c>
      <c r="J117" s="235">
        <v>0</v>
      </c>
      <c r="K117" s="235">
        <v>0</v>
      </c>
      <c r="L117" s="235">
        <v>0</v>
      </c>
      <c r="M117" s="235">
        <v>0</v>
      </c>
      <c r="N117" s="235">
        <v>0</v>
      </c>
      <c r="O117" s="235">
        <v>0</v>
      </c>
      <c r="P117" s="235">
        <v>0</v>
      </c>
      <c r="Q117" s="235">
        <v>0</v>
      </c>
      <c r="R117" s="235">
        <v>0</v>
      </c>
      <c r="S117" s="235">
        <v>0</v>
      </c>
      <c r="T117" s="235">
        <v>0</v>
      </c>
      <c r="U117" s="235">
        <v>0</v>
      </c>
      <c r="V117" s="235">
        <v>0</v>
      </c>
      <c r="W117" s="235">
        <v>0</v>
      </c>
      <c r="X117" s="235">
        <v>0</v>
      </c>
      <c r="Y117" s="235">
        <v>0</v>
      </c>
      <c r="Z117" s="235">
        <v>0</v>
      </c>
      <c r="AA117" s="235">
        <v>0</v>
      </c>
      <c r="AB117" s="235">
        <v>0</v>
      </c>
      <c r="AD117" s="236">
        <v>70</v>
      </c>
      <c r="AE117" s="235">
        <v>0</v>
      </c>
      <c r="AF117" s="235">
        <v>0</v>
      </c>
      <c r="AG117" s="235">
        <v>0</v>
      </c>
      <c r="AH117" s="235">
        <v>0</v>
      </c>
      <c r="AI117" s="235">
        <v>0</v>
      </c>
      <c r="AJ117" s="235">
        <v>0</v>
      </c>
      <c r="AK117" s="235">
        <v>0</v>
      </c>
      <c r="AL117" s="235">
        <v>0</v>
      </c>
      <c r="AM117" s="235">
        <v>0</v>
      </c>
      <c r="AN117" s="235">
        <v>0</v>
      </c>
      <c r="AO117" s="235">
        <v>0</v>
      </c>
      <c r="AP117" s="235">
        <v>0</v>
      </c>
      <c r="AQ117" s="235">
        <v>0</v>
      </c>
      <c r="AR117" s="235">
        <v>0</v>
      </c>
      <c r="AS117" s="235">
        <v>0</v>
      </c>
      <c r="AT117" s="235">
        <v>0</v>
      </c>
      <c r="AU117" s="235">
        <v>0</v>
      </c>
      <c r="AV117" s="235">
        <v>0</v>
      </c>
      <c r="AW117" s="235">
        <v>0</v>
      </c>
      <c r="AX117" s="235">
        <v>0</v>
      </c>
      <c r="AY117" s="235">
        <v>0</v>
      </c>
      <c r="AZ117" s="235">
        <v>0</v>
      </c>
      <c r="BA117" s="235">
        <v>0</v>
      </c>
      <c r="BB117" s="235">
        <v>0</v>
      </c>
      <c r="BC117" s="235">
        <v>0</v>
      </c>
      <c r="BD117" s="235">
        <v>0</v>
      </c>
    </row>
  </sheetData>
  <mergeCells count="4">
    <mergeCell ref="C4:AB4"/>
    <mergeCell ref="AE4:BD4"/>
    <mergeCell ref="C63:AB63"/>
    <mergeCell ref="AE63:BD63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3">
    <tabColor theme="9"/>
  </sheetPr>
  <dimension ref="B1:AB109"/>
  <sheetViews>
    <sheetView topLeftCell="B1" zoomScale="85" zoomScaleNormal="85" workbookViewId="0">
      <selection activeCell="O30" sqref="O30"/>
    </sheetView>
  </sheetViews>
  <sheetFormatPr defaultColWidth="9.140625" defaultRowHeight="12.75"/>
  <cols>
    <col min="1" max="1" width="5.5703125" style="102" customWidth="1"/>
    <col min="2" max="2" width="5.5703125" style="105" customWidth="1"/>
    <col min="3" max="4" width="14.42578125" style="103" customWidth="1"/>
    <col min="5" max="5" width="8.5703125" style="102" customWidth="1"/>
    <col min="6" max="6" width="5.5703125" style="105" customWidth="1"/>
    <col min="7" max="8" width="12.85546875" style="104" customWidth="1"/>
    <col min="9" max="16" width="12.85546875" style="103" customWidth="1"/>
    <col min="17" max="17" width="2.85546875" style="102" customWidth="1"/>
    <col min="18" max="18" width="5.5703125" style="105" customWidth="1"/>
    <col min="19" max="20" width="12.85546875" style="104" customWidth="1"/>
    <col min="21" max="28" width="12.85546875" style="103" customWidth="1"/>
    <col min="29" max="29" width="2.85546875" style="102" customWidth="1"/>
    <col min="30" max="16384" width="9.140625" style="102"/>
  </cols>
  <sheetData>
    <row r="1" spans="2:28">
      <c r="D1" s="224" t="s">
        <v>128</v>
      </c>
    </row>
    <row r="2" spans="2:28">
      <c r="B2" s="141" t="s">
        <v>127</v>
      </c>
      <c r="C2" s="143">
        <f>ii</f>
        <v>0.08</v>
      </c>
      <c r="D2" s="143">
        <v>1</v>
      </c>
    </row>
    <row r="4" spans="2:28">
      <c r="B4" s="141" t="s">
        <v>126</v>
      </c>
      <c r="C4" s="142"/>
      <c r="D4" s="142"/>
      <c r="F4" s="563" t="s">
        <v>125</v>
      </c>
      <c r="G4" s="563"/>
      <c r="H4" s="563"/>
      <c r="I4" s="563"/>
      <c r="J4" s="563"/>
      <c r="K4" s="563"/>
      <c r="L4" s="563"/>
      <c r="M4" s="563"/>
      <c r="N4" s="563"/>
      <c r="O4" s="563"/>
      <c r="P4" s="563"/>
      <c r="R4" s="563" t="s">
        <v>125</v>
      </c>
      <c r="S4" s="563"/>
      <c r="T4" s="563"/>
      <c r="U4" s="563"/>
      <c r="V4" s="563"/>
      <c r="W4" s="563"/>
      <c r="X4" s="563"/>
      <c r="Y4" s="563"/>
      <c r="Z4" s="563"/>
      <c r="AA4" s="563"/>
      <c r="AB4" s="563"/>
    </row>
    <row r="5" spans="2:28">
      <c r="B5" s="141"/>
      <c r="C5" s="142"/>
      <c r="D5" s="142"/>
      <c r="F5" s="564" t="s">
        <v>124</v>
      </c>
      <c r="G5" s="564"/>
      <c r="H5" s="564"/>
      <c r="I5" s="564"/>
      <c r="J5" s="564"/>
      <c r="K5" s="564"/>
      <c r="L5" s="564"/>
      <c r="M5" s="564"/>
      <c r="N5" s="564"/>
      <c r="O5" s="564"/>
      <c r="P5" s="564"/>
      <c r="R5" s="564" t="s">
        <v>123</v>
      </c>
      <c r="S5" s="564"/>
      <c r="T5" s="564"/>
      <c r="U5" s="564"/>
      <c r="V5" s="564"/>
      <c r="W5" s="564"/>
      <c r="X5" s="564"/>
      <c r="Y5" s="564"/>
      <c r="Z5" s="564"/>
      <c r="AA5" s="564"/>
      <c r="AB5" s="564"/>
    </row>
    <row r="6" spans="2:28">
      <c r="B6" s="141"/>
      <c r="C6" s="224" t="s">
        <v>124</v>
      </c>
      <c r="D6" s="224" t="s">
        <v>123</v>
      </c>
      <c r="F6" s="564" t="str">
        <f>"Норма доходности "&amp;$C$2</f>
        <v>Норма доходности 0,08</v>
      </c>
      <c r="G6" s="564"/>
      <c r="H6" s="564"/>
      <c r="I6" s="564"/>
      <c r="J6" s="564"/>
      <c r="K6" s="564"/>
      <c r="L6" s="564"/>
      <c r="M6" s="564"/>
      <c r="N6" s="564"/>
      <c r="O6" s="564"/>
      <c r="P6" s="564"/>
      <c r="R6" s="564" t="str">
        <f>"Норма доходности "&amp;ii</f>
        <v>Норма доходности 0,08</v>
      </c>
      <c r="S6" s="564"/>
      <c r="T6" s="564"/>
      <c r="U6" s="564"/>
      <c r="V6" s="564"/>
      <c r="W6" s="564"/>
      <c r="X6" s="564"/>
      <c r="Y6" s="564"/>
      <c r="Z6" s="564"/>
      <c r="AA6" s="564"/>
      <c r="AB6" s="564"/>
    </row>
    <row r="7" spans="2:28">
      <c r="B7" s="140" t="s">
        <v>67</v>
      </c>
      <c r="C7" s="137" t="s">
        <v>120</v>
      </c>
      <c r="D7" s="136" t="s">
        <v>120</v>
      </c>
      <c r="F7" s="139" t="s">
        <v>67</v>
      </c>
      <c r="G7" s="138" t="s">
        <v>122</v>
      </c>
      <c r="H7" s="138" t="s">
        <v>121</v>
      </c>
      <c r="I7" s="137" t="s">
        <v>120</v>
      </c>
      <c r="J7" s="137" t="s">
        <v>119</v>
      </c>
      <c r="K7" s="137" t="s">
        <v>118</v>
      </c>
      <c r="L7" s="137" t="s">
        <v>117</v>
      </c>
      <c r="M7" s="137" t="s">
        <v>116</v>
      </c>
      <c r="N7" s="137" t="s">
        <v>115</v>
      </c>
      <c r="O7" s="137" t="s">
        <v>114</v>
      </c>
      <c r="P7" s="136" t="s">
        <v>113</v>
      </c>
      <c r="R7" s="139" t="s">
        <v>67</v>
      </c>
      <c r="S7" s="138" t="s">
        <v>122</v>
      </c>
      <c r="T7" s="138" t="s">
        <v>121</v>
      </c>
      <c r="U7" s="137" t="s">
        <v>120</v>
      </c>
      <c r="V7" s="137" t="s">
        <v>119</v>
      </c>
      <c r="W7" s="137" t="s">
        <v>118</v>
      </c>
      <c r="X7" s="137" t="s">
        <v>117</v>
      </c>
      <c r="Y7" s="137" t="s">
        <v>116</v>
      </c>
      <c r="Z7" s="137" t="s">
        <v>115</v>
      </c>
      <c r="AA7" s="137" t="s">
        <v>114</v>
      </c>
      <c r="AB7" s="136" t="s">
        <v>113</v>
      </c>
    </row>
    <row r="8" spans="2:28">
      <c r="B8" s="123">
        <v>0</v>
      </c>
      <c r="C8" s="122"/>
      <c r="D8" s="118"/>
      <c r="F8" s="134">
        <v>0</v>
      </c>
      <c r="G8" s="133">
        <v>100000</v>
      </c>
      <c r="H8" s="132">
        <f t="shared" ref="H8:H39" si="0">G8*I8</f>
        <v>0</v>
      </c>
      <c r="I8" s="135">
        <f t="shared" ref="I8:I39" si="1">C8*$D$2</f>
        <v>0</v>
      </c>
      <c r="J8" s="130">
        <f t="shared" ref="J8:J39" si="2">1-I8</f>
        <v>1</v>
      </c>
      <c r="K8" s="129">
        <f t="shared" ref="K8:K39" si="3">v($C$2)^$F8*$G8</f>
        <v>100000</v>
      </c>
      <c r="L8" s="129">
        <f>SUM(K8:K$109)</f>
        <v>1340401.8968811366</v>
      </c>
      <c r="M8" s="129">
        <f>SUM(L8:L$109)</f>
        <v>17667730.832286708</v>
      </c>
      <c r="N8" s="129">
        <f t="shared" ref="N8:N39" si="4">v($C$2)^($F8+1)*$H8</f>
        <v>0</v>
      </c>
      <c r="O8" s="129">
        <f>SUM(N8:N$109)</f>
        <v>688.3034419959032</v>
      </c>
      <c r="P8" s="128">
        <f>SUM(O8:O$109)</f>
        <v>29369.044230593139</v>
      </c>
      <c r="R8" s="134">
        <v>0</v>
      </c>
      <c r="S8" s="133">
        <v>100000</v>
      </c>
      <c r="T8" s="132">
        <f t="shared" ref="T8:T39" si="5">S8*U8</f>
        <v>0</v>
      </c>
      <c r="U8" s="131">
        <f t="shared" ref="U8:U39" si="6">D8*$D$2</f>
        <v>0</v>
      </c>
      <c r="V8" s="130">
        <f t="shared" ref="V8:V39" si="7">1-U8</f>
        <v>1</v>
      </c>
      <c r="W8" s="129">
        <f t="shared" ref="W8:W39" si="8">v($C$2)^$R8*$S8</f>
        <v>100000</v>
      </c>
      <c r="X8" s="129">
        <f>SUM(W8:W$109)</f>
        <v>1345538.6316712743</v>
      </c>
      <c r="Y8" s="129">
        <f>SUM(X8:X$109)</f>
        <v>17939191.660232786</v>
      </c>
      <c r="Z8" s="129">
        <f t="shared" ref="Z8:Z39" si="9">v($C$2)^($R8+1)*T8</f>
        <v>0</v>
      </c>
      <c r="AA8" s="129">
        <f>SUM(Z8:Z$109)</f>
        <v>300.70293840878367</v>
      </c>
      <c r="AB8" s="128">
        <f>SUM(AA8:AA$109)</f>
        <v>13673.203258401778</v>
      </c>
    </row>
    <row r="9" spans="2:28">
      <c r="B9" s="127">
        <v>1</v>
      </c>
      <c r="C9" s="122"/>
      <c r="D9" s="118"/>
      <c r="F9" s="126">
        <v>1</v>
      </c>
      <c r="G9" s="119">
        <f t="shared" ref="G9:G40" si="10">G8-H8</f>
        <v>100000</v>
      </c>
      <c r="H9" s="119">
        <f t="shared" si="0"/>
        <v>0</v>
      </c>
      <c r="I9" s="121">
        <f t="shared" si="1"/>
        <v>0</v>
      </c>
      <c r="J9" s="117">
        <f t="shared" si="2"/>
        <v>1</v>
      </c>
      <c r="K9" s="116">
        <f t="shared" si="3"/>
        <v>92592.592592592584</v>
      </c>
      <c r="L9" s="116">
        <f>SUM(K9:K$109)</f>
        <v>1240401.8968811368</v>
      </c>
      <c r="M9" s="116">
        <f>SUM(L9:L$109)</f>
        <v>16327328.935405565</v>
      </c>
      <c r="N9" s="116">
        <f t="shared" si="4"/>
        <v>0</v>
      </c>
      <c r="O9" s="116">
        <f>SUM(N9:N$109)</f>
        <v>688.3034419959032</v>
      </c>
      <c r="P9" s="115">
        <f>SUM(O9:O$109)</f>
        <v>28680.740788597239</v>
      </c>
      <c r="R9" s="126">
        <v>1</v>
      </c>
      <c r="S9" s="119">
        <f t="shared" ref="S9:S40" si="11">S8-T8</f>
        <v>100000</v>
      </c>
      <c r="T9" s="119">
        <f t="shared" si="5"/>
        <v>0</v>
      </c>
      <c r="U9" s="118">
        <f t="shared" si="6"/>
        <v>0</v>
      </c>
      <c r="V9" s="117">
        <f t="shared" si="7"/>
        <v>1</v>
      </c>
      <c r="W9" s="116">
        <f t="shared" si="8"/>
        <v>92592.592592592584</v>
      </c>
      <c r="X9" s="116">
        <f>SUM(W9:W$109)</f>
        <v>1245538.6316712741</v>
      </c>
      <c r="Y9" s="116">
        <f>SUM(X9:X$109)</f>
        <v>16593653.028561503</v>
      </c>
      <c r="Z9" s="116">
        <f t="shared" si="9"/>
        <v>0</v>
      </c>
      <c r="AA9" s="116">
        <f>SUM(Z9:Z$109)</f>
        <v>300.70293840878367</v>
      </c>
      <c r="AB9" s="115">
        <f>SUM(AA9:AA$109)</f>
        <v>13372.500319992994</v>
      </c>
    </row>
    <row r="10" spans="2:28">
      <c r="B10" s="123">
        <v>2</v>
      </c>
      <c r="C10" s="122"/>
      <c r="D10" s="118"/>
      <c r="F10" s="120">
        <v>2</v>
      </c>
      <c r="G10" s="119">
        <f t="shared" si="10"/>
        <v>100000</v>
      </c>
      <c r="H10" s="119">
        <f t="shared" si="0"/>
        <v>0</v>
      </c>
      <c r="I10" s="121">
        <f t="shared" si="1"/>
        <v>0</v>
      </c>
      <c r="J10" s="117">
        <f t="shared" si="2"/>
        <v>1</v>
      </c>
      <c r="K10" s="116">
        <f t="shared" si="3"/>
        <v>85733.882030178313</v>
      </c>
      <c r="L10" s="116">
        <f>SUM(K10:K$109)</f>
        <v>1147809.304288544</v>
      </c>
      <c r="M10" s="116">
        <f>SUM(L10:L$109)</f>
        <v>15086927.03852443</v>
      </c>
      <c r="N10" s="116">
        <f t="shared" si="4"/>
        <v>0</v>
      </c>
      <c r="O10" s="116">
        <f>SUM(N10:N$109)</f>
        <v>688.3034419959032</v>
      </c>
      <c r="P10" s="115">
        <f>SUM(O10:O$109)</f>
        <v>27992.437346601335</v>
      </c>
      <c r="R10" s="120">
        <v>2</v>
      </c>
      <c r="S10" s="119">
        <f t="shared" si="11"/>
        <v>100000</v>
      </c>
      <c r="T10" s="119">
        <f t="shared" si="5"/>
        <v>0</v>
      </c>
      <c r="U10" s="118">
        <f t="shared" si="6"/>
        <v>0</v>
      </c>
      <c r="V10" s="117">
        <f t="shared" si="7"/>
        <v>1</v>
      </c>
      <c r="W10" s="116">
        <f t="shared" si="8"/>
        <v>85733.882030178313</v>
      </c>
      <c r="X10" s="116">
        <f>SUM(W10:W$109)</f>
        <v>1152946.0390786817</v>
      </c>
      <c r="Y10" s="116">
        <f>SUM(X10:X$109)</f>
        <v>15348114.39689023</v>
      </c>
      <c r="Z10" s="116">
        <f t="shared" si="9"/>
        <v>0</v>
      </c>
      <c r="AA10" s="116">
        <f>SUM(Z10:Z$109)</f>
        <v>300.70293840878367</v>
      </c>
      <c r="AB10" s="115">
        <f>SUM(AA10:AA$109)</f>
        <v>13071.797381584211</v>
      </c>
    </row>
    <row r="11" spans="2:28">
      <c r="B11" s="123">
        <v>3</v>
      </c>
      <c r="C11" s="122"/>
      <c r="D11" s="118"/>
      <c r="F11" s="120">
        <v>3</v>
      </c>
      <c r="G11" s="119">
        <f t="shared" si="10"/>
        <v>100000</v>
      </c>
      <c r="H11" s="119">
        <f t="shared" si="0"/>
        <v>0</v>
      </c>
      <c r="I11" s="121">
        <f t="shared" si="1"/>
        <v>0</v>
      </c>
      <c r="J11" s="117">
        <f t="shared" si="2"/>
        <v>1</v>
      </c>
      <c r="K11" s="116">
        <f t="shared" si="3"/>
        <v>79383.224102016946</v>
      </c>
      <c r="L11" s="116">
        <f>SUM(K11:K$109)</f>
        <v>1062075.422258365</v>
      </c>
      <c r="M11" s="116">
        <f>SUM(L11:L$109)</f>
        <v>13939117.734235888</v>
      </c>
      <c r="N11" s="116">
        <f t="shared" si="4"/>
        <v>0</v>
      </c>
      <c r="O11" s="116">
        <f>SUM(N11:N$109)</f>
        <v>688.3034419959032</v>
      </c>
      <c r="P11" s="115">
        <f>SUM(O11:O$109)</f>
        <v>27304.133904605431</v>
      </c>
      <c r="R11" s="120">
        <v>3</v>
      </c>
      <c r="S11" s="119">
        <f t="shared" si="11"/>
        <v>100000</v>
      </c>
      <c r="T11" s="119">
        <f t="shared" si="5"/>
        <v>0</v>
      </c>
      <c r="U11" s="118">
        <f t="shared" si="6"/>
        <v>0</v>
      </c>
      <c r="V11" s="117">
        <f t="shared" si="7"/>
        <v>1</v>
      </c>
      <c r="W11" s="116">
        <f t="shared" si="8"/>
        <v>79383.224102016946</v>
      </c>
      <c r="X11" s="116">
        <f>SUM(W11:W$109)</f>
        <v>1067212.1570485034</v>
      </c>
      <c r="Y11" s="116">
        <f>SUM(X11:X$109)</f>
        <v>14195168.357811548</v>
      </c>
      <c r="Z11" s="116">
        <f t="shared" si="9"/>
        <v>0</v>
      </c>
      <c r="AA11" s="116">
        <f>SUM(Z11:Z$109)</f>
        <v>300.70293840878367</v>
      </c>
      <c r="AB11" s="115">
        <f>SUM(AA11:AA$109)</f>
        <v>12771.094443175427</v>
      </c>
    </row>
    <row r="12" spans="2:28">
      <c r="B12" s="123">
        <v>4</v>
      </c>
      <c r="C12" s="122"/>
      <c r="D12" s="118"/>
      <c r="F12" s="120">
        <v>4</v>
      </c>
      <c r="G12" s="119">
        <f t="shared" si="10"/>
        <v>100000</v>
      </c>
      <c r="H12" s="119">
        <f t="shared" si="0"/>
        <v>0</v>
      </c>
      <c r="I12" s="121">
        <f t="shared" si="1"/>
        <v>0</v>
      </c>
      <c r="J12" s="117">
        <f t="shared" si="2"/>
        <v>1</v>
      </c>
      <c r="K12" s="116">
        <f t="shared" si="3"/>
        <v>73502.98527964532</v>
      </c>
      <c r="L12" s="116">
        <f>SUM(K12:K$109)</f>
        <v>982692.19815634831</v>
      </c>
      <c r="M12" s="116">
        <f>SUM(L12:L$109)</f>
        <v>12877042.311977524</v>
      </c>
      <c r="N12" s="116">
        <f t="shared" si="4"/>
        <v>0</v>
      </c>
      <c r="O12" s="116">
        <f>SUM(N12:N$109)</f>
        <v>688.3034419959032</v>
      </c>
      <c r="P12" s="115">
        <f>SUM(O12:O$109)</f>
        <v>26615.830462609527</v>
      </c>
      <c r="R12" s="120">
        <v>4</v>
      </c>
      <c r="S12" s="119">
        <f t="shared" si="11"/>
        <v>100000</v>
      </c>
      <c r="T12" s="119">
        <f t="shared" si="5"/>
        <v>0</v>
      </c>
      <c r="U12" s="118">
        <f t="shared" si="6"/>
        <v>0</v>
      </c>
      <c r="V12" s="117">
        <f t="shared" si="7"/>
        <v>1</v>
      </c>
      <c r="W12" s="116">
        <f t="shared" si="8"/>
        <v>73502.98527964532</v>
      </c>
      <c r="X12" s="116">
        <f>SUM(W12:W$109)</f>
        <v>987828.93294648698</v>
      </c>
      <c r="Y12" s="116">
        <f>SUM(X12:X$109)</f>
        <v>13127956.200763045</v>
      </c>
      <c r="Z12" s="116">
        <f t="shared" si="9"/>
        <v>0</v>
      </c>
      <c r="AA12" s="116">
        <f>SUM(Z12:Z$109)</f>
        <v>300.70293840878367</v>
      </c>
      <c r="AB12" s="115">
        <f>SUM(AA12:AA$109)</f>
        <v>12470.391504766647</v>
      </c>
    </row>
    <row r="13" spans="2:28">
      <c r="B13" s="123">
        <v>5</v>
      </c>
      <c r="C13" s="122"/>
      <c r="D13" s="118"/>
      <c r="F13" s="120">
        <v>5</v>
      </c>
      <c r="G13" s="119">
        <f t="shared" si="10"/>
        <v>100000</v>
      </c>
      <c r="H13" s="119">
        <f t="shared" si="0"/>
        <v>0</v>
      </c>
      <c r="I13" s="121">
        <f t="shared" si="1"/>
        <v>0</v>
      </c>
      <c r="J13" s="117">
        <f t="shared" si="2"/>
        <v>1</v>
      </c>
      <c r="K13" s="116">
        <f t="shared" si="3"/>
        <v>68058.31970337528</v>
      </c>
      <c r="L13" s="116">
        <f>SUM(K13:K$109)</f>
        <v>909189.21287670301</v>
      </c>
      <c r="M13" s="116">
        <f>SUM(L13:L$109)</f>
        <v>11894350.113821175</v>
      </c>
      <c r="N13" s="116">
        <f t="shared" si="4"/>
        <v>0</v>
      </c>
      <c r="O13" s="116">
        <f>SUM(N13:N$109)</f>
        <v>688.3034419959032</v>
      </c>
      <c r="P13" s="115">
        <f>SUM(O13:O$109)</f>
        <v>25927.527020613623</v>
      </c>
      <c r="R13" s="120">
        <v>5</v>
      </c>
      <c r="S13" s="119">
        <f t="shared" si="11"/>
        <v>100000</v>
      </c>
      <c r="T13" s="119">
        <f t="shared" si="5"/>
        <v>0</v>
      </c>
      <c r="U13" s="118">
        <f t="shared" si="6"/>
        <v>0</v>
      </c>
      <c r="V13" s="117">
        <f t="shared" si="7"/>
        <v>1</v>
      </c>
      <c r="W13" s="116">
        <f t="shared" si="8"/>
        <v>68058.31970337528</v>
      </c>
      <c r="X13" s="116">
        <f>SUM(W13:W$109)</f>
        <v>914325.94766684168</v>
      </c>
      <c r="Y13" s="116">
        <f>SUM(X13:X$109)</f>
        <v>12140127.267816558</v>
      </c>
      <c r="Z13" s="116">
        <f t="shared" si="9"/>
        <v>0</v>
      </c>
      <c r="AA13" s="116">
        <f>SUM(Z13:Z$109)</f>
        <v>300.70293840878367</v>
      </c>
      <c r="AB13" s="115">
        <f>SUM(AA13:AA$109)</f>
        <v>12169.68856635786</v>
      </c>
    </row>
    <row r="14" spans="2:28">
      <c r="B14" s="123">
        <v>6</v>
      </c>
      <c r="C14" s="122"/>
      <c r="D14" s="118"/>
      <c r="F14" s="120">
        <v>6</v>
      </c>
      <c r="G14" s="119">
        <f t="shared" si="10"/>
        <v>100000</v>
      </c>
      <c r="H14" s="119">
        <f t="shared" si="0"/>
        <v>0</v>
      </c>
      <c r="I14" s="121">
        <f t="shared" si="1"/>
        <v>0</v>
      </c>
      <c r="J14" s="117">
        <f t="shared" si="2"/>
        <v>1</v>
      </c>
      <c r="K14" s="116">
        <f t="shared" si="3"/>
        <v>63016.962688310443</v>
      </c>
      <c r="L14" s="116">
        <f>SUM(K14:K$109)</f>
        <v>841130.89317332779</v>
      </c>
      <c r="M14" s="116">
        <f>SUM(L14:L$109)</f>
        <v>10985160.900944473</v>
      </c>
      <c r="N14" s="116">
        <f t="shared" si="4"/>
        <v>0</v>
      </c>
      <c r="O14" s="116">
        <f>SUM(N14:N$109)</f>
        <v>688.3034419959032</v>
      </c>
      <c r="P14" s="115">
        <f>SUM(O14:O$109)</f>
        <v>25239.223578617719</v>
      </c>
      <c r="R14" s="120">
        <v>6</v>
      </c>
      <c r="S14" s="119">
        <f t="shared" si="11"/>
        <v>100000</v>
      </c>
      <c r="T14" s="119">
        <f t="shared" si="5"/>
        <v>0</v>
      </c>
      <c r="U14" s="118">
        <f t="shared" si="6"/>
        <v>0</v>
      </c>
      <c r="V14" s="117">
        <f t="shared" si="7"/>
        <v>1</v>
      </c>
      <c r="W14" s="116">
        <f t="shared" si="8"/>
        <v>63016.962688310443</v>
      </c>
      <c r="X14" s="116">
        <f>SUM(W14:W$109)</f>
        <v>846267.62796346634</v>
      </c>
      <c r="Y14" s="116">
        <f>SUM(X14:X$109)</f>
        <v>11225801.320149714</v>
      </c>
      <c r="Z14" s="116">
        <f t="shared" si="9"/>
        <v>0</v>
      </c>
      <c r="AA14" s="116">
        <f>SUM(Z14:Z$109)</f>
        <v>300.70293840878367</v>
      </c>
      <c r="AB14" s="115">
        <f>SUM(AA14:AA$109)</f>
        <v>11868.985627949076</v>
      </c>
    </row>
    <row r="15" spans="2:28">
      <c r="B15" s="123">
        <v>7</v>
      </c>
      <c r="C15" s="122"/>
      <c r="D15" s="118"/>
      <c r="F15" s="120">
        <v>7</v>
      </c>
      <c r="G15" s="119">
        <f t="shared" si="10"/>
        <v>100000</v>
      </c>
      <c r="H15" s="119">
        <f t="shared" si="0"/>
        <v>0</v>
      </c>
      <c r="I15" s="121">
        <f t="shared" si="1"/>
        <v>0</v>
      </c>
      <c r="J15" s="117">
        <f t="shared" si="2"/>
        <v>1</v>
      </c>
      <c r="K15" s="116">
        <f t="shared" si="3"/>
        <v>58349.039526213368</v>
      </c>
      <c r="L15" s="116">
        <f>SUM(K15:K$109)</f>
        <v>778113.93048501725</v>
      </c>
      <c r="M15" s="116">
        <f>SUM(L15:L$109)</f>
        <v>10144030.007771144</v>
      </c>
      <c r="N15" s="116">
        <f t="shared" si="4"/>
        <v>0</v>
      </c>
      <c r="O15" s="116">
        <f>SUM(N15:N$109)</f>
        <v>688.3034419959032</v>
      </c>
      <c r="P15" s="115">
        <f>SUM(O15:O$109)</f>
        <v>24550.920136621819</v>
      </c>
      <c r="R15" s="120">
        <v>7</v>
      </c>
      <c r="S15" s="119">
        <f t="shared" si="11"/>
        <v>100000</v>
      </c>
      <c r="T15" s="119">
        <f t="shared" si="5"/>
        <v>0</v>
      </c>
      <c r="U15" s="118">
        <f t="shared" si="6"/>
        <v>0</v>
      </c>
      <c r="V15" s="117">
        <f t="shared" si="7"/>
        <v>1</v>
      </c>
      <c r="W15" s="116">
        <f t="shared" si="8"/>
        <v>58349.039526213368</v>
      </c>
      <c r="X15" s="116">
        <f>SUM(W15:W$109)</f>
        <v>783250.66527515592</v>
      </c>
      <c r="Y15" s="116">
        <f>SUM(X15:X$109)</f>
        <v>10379533.692186248</v>
      </c>
      <c r="Z15" s="116">
        <f t="shared" si="9"/>
        <v>0</v>
      </c>
      <c r="AA15" s="116">
        <f>SUM(Z15:Z$109)</f>
        <v>300.70293840878367</v>
      </c>
      <c r="AB15" s="115">
        <f>SUM(AA15:AA$109)</f>
        <v>11568.282689540296</v>
      </c>
    </row>
    <row r="16" spans="2:28">
      <c r="B16" s="123">
        <v>8</v>
      </c>
      <c r="C16" s="122"/>
      <c r="D16" s="118"/>
      <c r="F16" s="120">
        <v>8</v>
      </c>
      <c r="G16" s="119">
        <f t="shared" si="10"/>
        <v>100000</v>
      </c>
      <c r="H16" s="119">
        <f t="shared" si="0"/>
        <v>0</v>
      </c>
      <c r="I16" s="121">
        <f t="shared" si="1"/>
        <v>0</v>
      </c>
      <c r="J16" s="117">
        <f t="shared" si="2"/>
        <v>1</v>
      </c>
      <c r="K16" s="116">
        <f t="shared" si="3"/>
        <v>54026.888450197563</v>
      </c>
      <c r="L16" s="116">
        <f>SUM(K16:K$109)</f>
        <v>719764.89095880382</v>
      </c>
      <c r="M16" s="116">
        <f>SUM(L16:L$109)</f>
        <v>9365916.0772861261</v>
      </c>
      <c r="N16" s="116">
        <f t="shared" si="4"/>
        <v>0</v>
      </c>
      <c r="O16" s="116">
        <f>SUM(N16:N$109)</f>
        <v>688.3034419959032</v>
      </c>
      <c r="P16" s="115">
        <f>SUM(O16:O$109)</f>
        <v>23862.616694625915</v>
      </c>
      <c r="R16" s="120">
        <v>8</v>
      </c>
      <c r="S16" s="119">
        <f t="shared" si="11"/>
        <v>100000</v>
      </c>
      <c r="T16" s="119">
        <f t="shared" si="5"/>
        <v>0</v>
      </c>
      <c r="U16" s="118">
        <f t="shared" si="6"/>
        <v>0</v>
      </c>
      <c r="V16" s="117">
        <f t="shared" si="7"/>
        <v>1</v>
      </c>
      <c r="W16" s="116">
        <f t="shared" si="8"/>
        <v>54026.888450197563</v>
      </c>
      <c r="X16" s="116">
        <f>SUM(W16:W$109)</f>
        <v>724901.62574894249</v>
      </c>
      <c r="Y16" s="116">
        <f>SUM(X16:X$109)</f>
        <v>9596283.0269110948</v>
      </c>
      <c r="Z16" s="116">
        <f t="shared" si="9"/>
        <v>0</v>
      </c>
      <c r="AA16" s="116">
        <f>SUM(Z16:Z$109)</f>
        <v>300.70293840878367</v>
      </c>
      <c r="AB16" s="115">
        <f>SUM(AA16:AA$109)</f>
        <v>11267.579751131512</v>
      </c>
    </row>
    <row r="17" spans="2:28">
      <c r="B17" s="123">
        <v>9</v>
      </c>
      <c r="C17" s="122"/>
      <c r="D17" s="118"/>
      <c r="F17" s="120">
        <v>9</v>
      </c>
      <c r="G17" s="119">
        <f t="shared" si="10"/>
        <v>100000</v>
      </c>
      <c r="H17" s="119">
        <f t="shared" si="0"/>
        <v>0</v>
      </c>
      <c r="I17" s="121">
        <f t="shared" si="1"/>
        <v>0</v>
      </c>
      <c r="J17" s="117">
        <f t="shared" si="2"/>
        <v>1</v>
      </c>
      <c r="K17" s="116">
        <f t="shared" si="3"/>
        <v>50024.896713145885</v>
      </c>
      <c r="L17" s="116">
        <f>SUM(K17:K$109)</f>
        <v>665738.00250860641</v>
      </c>
      <c r="M17" s="116">
        <f>SUM(L17:L$109)</f>
        <v>8646151.186327327</v>
      </c>
      <c r="N17" s="116">
        <f t="shared" si="4"/>
        <v>0</v>
      </c>
      <c r="O17" s="116">
        <f>SUM(N17:N$109)</f>
        <v>688.3034419959032</v>
      </c>
      <c r="P17" s="115">
        <f>SUM(O17:O$109)</f>
        <v>23174.313252630011</v>
      </c>
      <c r="R17" s="120">
        <v>9</v>
      </c>
      <c r="S17" s="119">
        <f t="shared" si="11"/>
        <v>100000</v>
      </c>
      <c r="T17" s="119">
        <f t="shared" si="5"/>
        <v>0</v>
      </c>
      <c r="U17" s="118">
        <f t="shared" si="6"/>
        <v>0</v>
      </c>
      <c r="V17" s="117">
        <f t="shared" si="7"/>
        <v>1</v>
      </c>
      <c r="W17" s="116">
        <f t="shared" si="8"/>
        <v>50024.896713145885</v>
      </c>
      <c r="X17" s="116">
        <f>SUM(W17:W$109)</f>
        <v>670874.73729874473</v>
      </c>
      <c r="Y17" s="116">
        <f>SUM(X17:X$109)</f>
        <v>8871381.4011621531</v>
      </c>
      <c r="Z17" s="116">
        <f t="shared" si="9"/>
        <v>0</v>
      </c>
      <c r="AA17" s="116">
        <f>SUM(Z17:Z$109)</f>
        <v>300.70293840878367</v>
      </c>
      <c r="AB17" s="115">
        <f>SUM(AA17:AA$109)</f>
        <v>10966.876812722729</v>
      </c>
    </row>
    <row r="18" spans="2:28">
      <c r="B18" s="123">
        <v>10</v>
      </c>
      <c r="C18" s="122"/>
      <c r="D18" s="118"/>
      <c r="F18" s="120">
        <v>10</v>
      </c>
      <c r="G18" s="119">
        <f t="shared" si="10"/>
        <v>100000</v>
      </c>
      <c r="H18" s="119">
        <f t="shared" si="0"/>
        <v>0</v>
      </c>
      <c r="I18" s="121">
        <f t="shared" si="1"/>
        <v>0</v>
      </c>
      <c r="J18" s="117">
        <f t="shared" si="2"/>
        <v>1</v>
      </c>
      <c r="K18" s="116">
        <f t="shared" si="3"/>
        <v>46319.348808468407</v>
      </c>
      <c r="L18" s="116">
        <f>SUM(K18:K$109)</f>
        <v>615713.10579546064</v>
      </c>
      <c r="M18" s="116">
        <f>SUM(L18:L$109)</f>
        <v>7980413.1838187175</v>
      </c>
      <c r="N18" s="116">
        <f t="shared" si="4"/>
        <v>0</v>
      </c>
      <c r="O18" s="116">
        <f>SUM(N18:N$109)</f>
        <v>688.3034419959032</v>
      </c>
      <c r="P18" s="115">
        <f>SUM(O18:O$109)</f>
        <v>22486.009810634103</v>
      </c>
      <c r="R18" s="120">
        <v>10</v>
      </c>
      <c r="S18" s="119">
        <f t="shared" si="11"/>
        <v>100000</v>
      </c>
      <c r="T18" s="119">
        <f t="shared" si="5"/>
        <v>0</v>
      </c>
      <c r="U18" s="118">
        <f t="shared" si="6"/>
        <v>0</v>
      </c>
      <c r="V18" s="117">
        <f t="shared" si="7"/>
        <v>1</v>
      </c>
      <c r="W18" s="116">
        <f t="shared" si="8"/>
        <v>46319.348808468407</v>
      </c>
      <c r="X18" s="116">
        <f>SUM(W18:W$109)</f>
        <v>620849.84058559884</v>
      </c>
      <c r="Y18" s="116">
        <f>SUM(X18:X$109)</f>
        <v>8200506.6638634102</v>
      </c>
      <c r="Z18" s="116">
        <f t="shared" si="9"/>
        <v>0</v>
      </c>
      <c r="AA18" s="116">
        <f>SUM(Z18:Z$109)</f>
        <v>300.70293840878367</v>
      </c>
      <c r="AB18" s="115">
        <f>SUM(AA18:AA$109)</f>
        <v>10666.173874313945</v>
      </c>
    </row>
    <row r="19" spans="2:28">
      <c r="B19" s="123">
        <v>11</v>
      </c>
      <c r="C19" s="122"/>
      <c r="D19" s="118"/>
      <c r="F19" s="120">
        <v>11</v>
      </c>
      <c r="G19" s="119">
        <f t="shared" si="10"/>
        <v>100000</v>
      </c>
      <c r="H19" s="119">
        <f t="shared" si="0"/>
        <v>0</v>
      </c>
      <c r="I19" s="121">
        <f t="shared" si="1"/>
        <v>0</v>
      </c>
      <c r="J19" s="117">
        <f t="shared" si="2"/>
        <v>1</v>
      </c>
      <c r="K19" s="116">
        <f t="shared" si="3"/>
        <v>42888.285933767038</v>
      </c>
      <c r="L19" s="116">
        <f>SUM(K19:K$109)</f>
        <v>569393.7569869922</v>
      </c>
      <c r="M19" s="116">
        <f>SUM(L19:L$109)</f>
        <v>7364700.0780232577</v>
      </c>
      <c r="N19" s="116">
        <f t="shared" si="4"/>
        <v>0</v>
      </c>
      <c r="O19" s="116">
        <f>SUM(N19:N$109)</f>
        <v>688.3034419959032</v>
      </c>
      <c r="P19" s="115">
        <f>SUM(O19:O$109)</f>
        <v>21797.706368638199</v>
      </c>
      <c r="R19" s="120">
        <v>11</v>
      </c>
      <c r="S19" s="119">
        <f t="shared" si="11"/>
        <v>100000</v>
      </c>
      <c r="T19" s="119">
        <f t="shared" si="5"/>
        <v>0</v>
      </c>
      <c r="U19" s="118">
        <f t="shared" si="6"/>
        <v>0</v>
      </c>
      <c r="V19" s="117">
        <f t="shared" si="7"/>
        <v>1</v>
      </c>
      <c r="W19" s="116">
        <f t="shared" si="8"/>
        <v>42888.285933767038</v>
      </c>
      <c r="X19" s="116">
        <f>SUM(W19:W$109)</f>
        <v>574530.49177713029</v>
      </c>
      <c r="Y19" s="116">
        <f>SUM(X19:X$109)</f>
        <v>7579656.8232778115</v>
      </c>
      <c r="Z19" s="116">
        <f t="shared" si="9"/>
        <v>0</v>
      </c>
      <c r="AA19" s="116">
        <f>SUM(Z19:Z$109)</f>
        <v>300.70293840878367</v>
      </c>
      <c r="AB19" s="115">
        <f>SUM(AA19:AA$109)</f>
        <v>10365.470935905165</v>
      </c>
    </row>
    <row r="20" spans="2:28">
      <c r="B20" s="123">
        <v>12</v>
      </c>
      <c r="C20" s="122"/>
      <c r="D20" s="118"/>
      <c r="F20" s="120">
        <v>12</v>
      </c>
      <c r="G20" s="119">
        <f t="shared" si="10"/>
        <v>100000</v>
      </c>
      <c r="H20" s="119">
        <f t="shared" si="0"/>
        <v>0</v>
      </c>
      <c r="I20" s="121">
        <f t="shared" si="1"/>
        <v>0</v>
      </c>
      <c r="J20" s="117">
        <f t="shared" si="2"/>
        <v>1</v>
      </c>
      <c r="K20" s="116">
        <f t="shared" si="3"/>
        <v>39711.375864599111</v>
      </c>
      <c r="L20" s="116">
        <f>SUM(K20:K$109)</f>
        <v>526505.47105322464</v>
      </c>
      <c r="M20" s="116">
        <f>SUM(L20:L$109)</f>
        <v>6795306.3210362643</v>
      </c>
      <c r="N20" s="116">
        <f t="shared" si="4"/>
        <v>0</v>
      </c>
      <c r="O20" s="116">
        <f>SUM(N20:N$109)</f>
        <v>688.3034419959032</v>
      </c>
      <c r="P20" s="115">
        <f>SUM(O20:O$109)</f>
        <v>21109.402926642299</v>
      </c>
      <c r="R20" s="120">
        <v>12</v>
      </c>
      <c r="S20" s="119">
        <f t="shared" si="11"/>
        <v>100000</v>
      </c>
      <c r="T20" s="119">
        <f t="shared" si="5"/>
        <v>0</v>
      </c>
      <c r="U20" s="118">
        <f t="shared" si="6"/>
        <v>0</v>
      </c>
      <c r="V20" s="117">
        <f t="shared" si="7"/>
        <v>1</v>
      </c>
      <c r="W20" s="116">
        <f t="shared" si="8"/>
        <v>39711.375864599111</v>
      </c>
      <c r="X20" s="116">
        <f>SUM(W20:W$109)</f>
        <v>531642.20584336307</v>
      </c>
      <c r="Y20" s="116">
        <f>SUM(X20:X$109)</f>
        <v>7005126.3315006811</v>
      </c>
      <c r="Z20" s="116">
        <f t="shared" si="9"/>
        <v>0</v>
      </c>
      <c r="AA20" s="116">
        <f>SUM(Z20:Z$109)</f>
        <v>300.70293840878367</v>
      </c>
      <c r="AB20" s="115">
        <f>SUM(AA20:AA$109)</f>
        <v>10064.767997496378</v>
      </c>
    </row>
    <row r="21" spans="2:28">
      <c r="B21" s="123">
        <v>13</v>
      </c>
      <c r="C21" s="122"/>
      <c r="D21" s="118"/>
      <c r="F21" s="120">
        <v>13</v>
      </c>
      <c r="G21" s="119">
        <f t="shared" si="10"/>
        <v>100000</v>
      </c>
      <c r="H21" s="119">
        <f t="shared" si="0"/>
        <v>0</v>
      </c>
      <c r="I21" s="121">
        <f t="shared" si="1"/>
        <v>0</v>
      </c>
      <c r="J21" s="117">
        <f t="shared" si="2"/>
        <v>1</v>
      </c>
      <c r="K21" s="116">
        <f t="shared" si="3"/>
        <v>36769.792467221392</v>
      </c>
      <c r="L21" s="116">
        <f>SUM(K21:K$109)</f>
        <v>486794.09518862574</v>
      </c>
      <c r="M21" s="116">
        <f>SUM(L21:L$109)</f>
        <v>6268800.8499830412</v>
      </c>
      <c r="N21" s="116">
        <f t="shared" si="4"/>
        <v>0</v>
      </c>
      <c r="O21" s="116">
        <f>SUM(N21:N$109)</f>
        <v>688.3034419959032</v>
      </c>
      <c r="P21" s="115">
        <f>SUM(O21:O$109)</f>
        <v>20421.099484646391</v>
      </c>
      <c r="R21" s="120">
        <v>13</v>
      </c>
      <c r="S21" s="119">
        <f t="shared" si="11"/>
        <v>100000</v>
      </c>
      <c r="T21" s="119">
        <f t="shared" si="5"/>
        <v>0</v>
      </c>
      <c r="U21" s="118">
        <f t="shared" si="6"/>
        <v>0</v>
      </c>
      <c r="V21" s="117">
        <f t="shared" si="7"/>
        <v>1</v>
      </c>
      <c r="W21" s="116">
        <f t="shared" si="8"/>
        <v>36769.792467221392</v>
      </c>
      <c r="X21" s="116">
        <f>SUM(W21:W$109)</f>
        <v>491930.82997876382</v>
      </c>
      <c r="Y21" s="116">
        <f>SUM(X21:X$109)</f>
        <v>6473484.1256573172</v>
      </c>
      <c r="Z21" s="116">
        <f t="shared" si="9"/>
        <v>0</v>
      </c>
      <c r="AA21" s="116">
        <f>SUM(Z21:Z$109)</f>
        <v>300.70293840878367</v>
      </c>
      <c r="AB21" s="115">
        <f>SUM(AA21:AA$109)</f>
        <v>9764.0650590875975</v>
      </c>
    </row>
    <row r="22" spans="2:28">
      <c r="B22" s="123">
        <v>14</v>
      </c>
      <c r="C22" s="122"/>
      <c r="D22" s="118"/>
      <c r="F22" s="120">
        <v>14</v>
      </c>
      <c r="G22" s="119">
        <f t="shared" si="10"/>
        <v>100000</v>
      </c>
      <c r="H22" s="119">
        <f t="shared" si="0"/>
        <v>0</v>
      </c>
      <c r="I22" s="121">
        <f t="shared" si="1"/>
        <v>0</v>
      </c>
      <c r="J22" s="117">
        <f t="shared" si="2"/>
        <v>1</v>
      </c>
      <c r="K22" s="116">
        <f t="shared" si="3"/>
        <v>34046.104136316106</v>
      </c>
      <c r="L22" s="116">
        <f>SUM(K22:K$109)</f>
        <v>450024.30272140435</v>
      </c>
      <c r="M22" s="116">
        <f>SUM(L22:L$109)</f>
        <v>5782006.7547944151</v>
      </c>
      <c r="N22" s="116">
        <f t="shared" si="4"/>
        <v>0</v>
      </c>
      <c r="O22" s="116">
        <f>SUM(N22:N$109)</f>
        <v>688.3034419959032</v>
      </c>
      <c r="P22" s="115">
        <f>SUM(O22:O$109)</f>
        <v>19732.796042650491</v>
      </c>
      <c r="R22" s="120">
        <v>14</v>
      </c>
      <c r="S22" s="119">
        <f t="shared" si="11"/>
        <v>100000</v>
      </c>
      <c r="T22" s="119">
        <f t="shared" si="5"/>
        <v>0</v>
      </c>
      <c r="U22" s="118">
        <f t="shared" si="6"/>
        <v>0</v>
      </c>
      <c r="V22" s="117">
        <f t="shared" si="7"/>
        <v>1</v>
      </c>
      <c r="W22" s="116">
        <f t="shared" si="8"/>
        <v>34046.104136316106</v>
      </c>
      <c r="X22" s="116">
        <f>SUM(W22:W$109)</f>
        <v>455161.03751154244</v>
      </c>
      <c r="Y22" s="116">
        <f>SUM(X22:X$109)</f>
        <v>5981553.2956785532</v>
      </c>
      <c r="Z22" s="116">
        <f t="shared" si="9"/>
        <v>0</v>
      </c>
      <c r="AA22" s="116">
        <f>SUM(Z22:Z$109)</f>
        <v>300.70293840878367</v>
      </c>
      <c r="AB22" s="115">
        <f>SUM(AA22:AA$109)</f>
        <v>9463.3621206788102</v>
      </c>
    </row>
    <row r="23" spans="2:28">
      <c r="B23" s="123">
        <v>15</v>
      </c>
      <c r="C23" s="122"/>
      <c r="D23" s="118"/>
      <c r="F23" s="120">
        <v>15</v>
      </c>
      <c r="G23" s="119">
        <f t="shared" si="10"/>
        <v>100000</v>
      </c>
      <c r="H23" s="119">
        <f t="shared" si="0"/>
        <v>0</v>
      </c>
      <c r="I23" s="121">
        <f t="shared" si="1"/>
        <v>0</v>
      </c>
      <c r="J23" s="117">
        <f t="shared" si="2"/>
        <v>1</v>
      </c>
      <c r="K23" s="116">
        <f t="shared" si="3"/>
        <v>31524.170496588977</v>
      </c>
      <c r="L23" s="116">
        <f>SUM(K23:K$109)</f>
        <v>415978.19858508825</v>
      </c>
      <c r="M23" s="116">
        <f>SUM(L23:L$109)</f>
        <v>5331982.4520730106</v>
      </c>
      <c r="N23" s="116">
        <f t="shared" si="4"/>
        <v>0</v>
      </c>
      <c r="O23" s="116">
        <f>SUM(N23:N$109)</f>
        <v>688.3034419959032</v>
      </c>
      <c r="P23" s="115">
        <f>SUM(O23:O$109)</f>
        <v>19044.492600654583</v>
      </c>
      <c r="R23" s="120">
        <v>15</v>
      </c>
      <c r="S23" s="119">
        <f t="shared" si="11"/>
        <v>100000</v>
      </c>
      <c r="T23" s="119">
        <f t="shared" si="5"/>
        <v>0</v>
      </c>
      <c r="U23" s="118">
        <f t="shared" si="6"/>
        <v>0</v>
      </c>
      <c r="V23" s="117">
        <f t="shared" si="7"/>
        <v>1</v>
      </c>
      <c r="W23" s="116">
        <f t="shared" si="8"/>
        <v>31524.170496588977</v>
      </c>
      <c r="X23" s="116">
        <f>SUM(W23:W$109)</f>
        <v>421114.93337522633</v>
      </c>
      <c r="Y23" s="116">
        <f>SUM(X23:X$109)</f>
        <v>5526392.2581670107</v>
      </c>
      <c r="Z23" s="116">
        <f t="shared" si="9"/>
        <v>0</v>
      </c>
      <c r="AA23" s="116">
        <f>SUM(Z23:Z$109)</f>
        <v>300.70293840878367</v>
      </c>
      <c r="AB23" s="115">
        <f>SUM(AA23:AA$109)</f>
        <v>9162.6591822700302</v>
      </c>
    </row>
    <row r="24" spans="2:28">
      <c r="B24" s="123">
        <v>16</v>
      </c>
      <c r="C24" s="122"/>
      <c r="D24" s="118"/>
      <c r="F24" s="120">
        <v>16</v>
      </c>
      <c r="G24" s="119">
        <f t="shared" si="10"/>
        <v>100000</v>
      </c>
      <c r="H24" s="119">
        <f t="shared" si="0"/>
        <v>0</v>
      </c>
      <c r="I24" s="121">
        <f t="shared" si="1"/>
        <v>0</v>
      </c>
      <c r="J24" s="117">
        <f t="shared" si="2"/>
        <v>1</v>
      </c>
      <c r="K24" s="116">
        <f t="shared" si="3"/>
        <v>29189.046756100906</v>
      </c>
      <c r="L24" s="116">
        <f>SUM(K24:K$109)</f>
        <v>384454.02808849933</v>
      </c>
      <c r="M24" s="116">
        <f>SUM(L24:L$109)</f>
        <v>4916004.2534879232</v>
      </c>
      <c r="N24" s="116">
        <f t="shared" si="4"/>
        <v>0</v>
      </c>
      <c r="O24" s="116">
        <f>SUM(N24:N$109)</f>
        <v>688.3034419959032</v>
      </c>
      <c r="P24" s="115">
        <f>SUM(O24:O$109)</f>
        <v>18356.189158658683</v>
      </c>
      <c r="R24" s="120">
        <v>16</v>
      </c>
      <c r="S24" s="119">
        <f t="shared" si="11"/>
        <v>100000</v>
      </c>
      <c r="T24" s="119">
        <f t="shared" si="5"/>
        <v>0</v>
      </c>
      <c r="U24" s="118">
        <f t="shared" si="6"/>
        <v>0</v>
      </c>
      <c r="V24" s="117">
        <f t="shared" si="7"/>
        <v>1</v>
      </c>
      <c r="W24" s="116">
        <f t="shared" si="8"/>
        <v>29189.046756100906</v>
      </c>
      <c r="X24" s="116">
        <f>SUM(W24:W$109)</f>
        <v>389590.76287863741</v>
      </c>
      <c r="Y24" s="116">
        <f>SUM(X24:X$109)</f>
        <v>5105277.3247917835</v>
      </c>
      <c r="Z24" s="116">
        <f t="shared" si="9"/>
        <v>0</v>
      </c>
      <c r="AA24" s="116">
        <f>SUM(Z24:Z$109)</f>
        <v>300.70293840878367</v>
      </c>
      <c r="AB24" s="115">
        <f>SUM(AA24:AA$109)</f>
        <v>8861.9562438612429</v>
      </c>
    </row>
    <row r="25" spans="2:28">
      <c r="B25" s="123">
        <v>17</v>
      </c>
      <c r="C25" s="122"/>
      <c r="D25" s="118"/>
      <c r="F25" s="120">
        <v>17</v>
      </c>
      <c r="G25" s="119">
        <f t="shared" si="10"/>
        <v>100000</v>
      </c>
      <c r="H25" s="119">
        <f t="shared" si="0"/>
        <v>0</v>
      </c>
      <c r="I25" s="121">
        <f t="shared" si="1"/>
        <v>0</v>
      </c>
      <c r="J25" s="117">
        <f t="shared" si="2"/>
        <v>1</v>
      </c>
      <c r="K25" s="116">
        <f t="shared" si="3"/>
        <v>27026.89514453787</v>
      </c>
      <c r="L25" s="116">
        <f>SUM(K25:K$109)</f>
        <v>355264.98133239825</v>
      </c>
      <c r="M25" s="116">
        <f>SUM(L25:L$109)</f>
        <v>4531550.2253994225</v>
      </c>
      <c r="N25" s="116">
        <f t="shared" si="4"/>
        <v>0</v>
      </c>
      <c r="O25" s="116">
        <f>SUM(N25:N$109)</f>
        <v>688.3034419959032</v>
      </c>
      <c r="P25" s="115">
        <f>SUM(O25:O$109)</f>
        <v>17667.885716662775</v>
      </c>
      <c r="R25" s="120">
        <v>17</v>
      </c>
      <c r="S25" s="119">
        <f t="shared" si="11"/>
        <v>100000</v>
      </c>
      <c r="T25" s="119">
        <f t="shared" si="5"/>
        <v>0</v>
      </c>
      <c r="U25" s="118">
        <f t="shared" si="6"/>
        <v>0</v>
      </c>
      <c r="V25" s="117">
        <f t="shared" si="7"/>
        <v>1</v>
      </c>
      <c r="W25" s="116">
        <f t="shared" si="8"/>
        <v>27026.89514453787</v>
      </c>
      <c r="X25" s="116">
        <f>SUM(W25:W$109)</f>
        <v>360401.71612253645</v>
      </c>
      <c r="Y25" s="116">
        <f>SUM(X25:X$109)</f>
        <v>4715686.5619131457</v>
      </c>
      <c r="Z25" s="116">
        <f t="shared" si="9"/>
        <v>0</v>
      </c>
      <c r="AA25" s="116">
        <f>SUM(Z25:Z$109)</f>
        <v>300.70293840878367</v>
      </c>
      <c r="AB25" s="115">
        <f>SUM(AA25:AA$109)</f>
        <v>8561.2533054524592</v>
      </c>
    </row>
    <row r="26" spans="2:28">
      <c r="B26" s="123">
        <v>18</v>
      </c>
      <c r="C26" s="125">
        <v>5.4750000000000003E-4</v>
      </c>
      <c r="D26" s="124">
        <v>2.5624999999999997E-4</v>
      </c>
      <c r="F26" s="120">
        <v>18</v>
      </c>
      <c r="G26" s="119">
        <f t="shared" si="10"/>
        <v>100000</v>
      </c>
      <c r="H26" s="119">
        <f t="shared" si="0"/>
        <v>54.75</v>
      </c>
      <c r="I26" s="121">
        <f t="shared" si="1"/>
        <v>5.4750000000000003E-4</v>
      </c>
      <c r="J26" s="117">
        <f t="shared" si="2"/>
        <v>0.99945249999999997</v>
      </c>
      <c r="K26" s="116">
        <f t="shared" si="3"/>
        <v>25024.902911609137</v>
      </c>
      <c r="L26" s="116">
        <f>SUM(K26:K$109)</f>
        <v>328238.08618786046</v>
      </c>
      <c r="M26" s="116">
        <f>SUM(L26:L$109)</f>
        <v>4176285.2440670277</v>
      </c>
      <c r="N26" s="116">
        <f t="shared" si="4"/>
        <v>12.686235503801853</v>
      </c>
      <c r="O26" s="116">
        <f>SUM(N26:N$109)</f>
        <v>688.3034419959032</v>
      </c>
      <c r="P26" s="115">
        <f>SUM(O26:O$109)</f>
        <v>16979.582274666867</v>
      </c>
      <c r="R26" s="120">
        <v>18</v>
      </c>
      <c r="S26" s="119">
        <f t="shared" si="11"/>
        <v>100000</v>
      </c>
      <c r="T26" s="119">
        <f t="shared" si="5"/>
        <v>25.624999999999996</v>
      </c>
      <c r="U26" s="118">
        <f t="shared" si="6"/>
        <v>2.5624999999999997E-4</v>
      </c>
      <c r="V26" s="117">
        <f t="shared" si="7"/>
        <v>0.99974375000000004</v>
      </c>
      <c r="W26" s="116">
        <f t="shared" si="8"/>
        <v>25024.902911609137</v>
      </c>
      <c r="X26" s="116">
        <f>SUM(W26:W$109)</f>
        <v>333374.82097799861</v>
      </c>
      <c r="Y26" s="116">
        <f>SUM(X26:X$109)</f>
        <v>4355284.8457906079</v>
      </c>
      <c r="Z26" s="116">
        <f t="shared" si="9"/>
        <v>5.9376216399072597</v>
      </c>
      <c r="AA26" s="116">
        <f>SUM(Z26:Z$109)</f>
        <v>300.70293840878367</v>
      </c>
      <c r="AB26" s="115">
        <f>SUM(AA26:AA$109)</f>
        <v>8260.5503670436756</v>
      </c>
    </row>
    <row r="27" spans="2:28">
      <c r="B27" s="123">
        <v>19</v>
      </c>
      <c r="C27" s="125">
        <v>6.3999999999999994E-4</v>
      </c>
      <c r="D27" s="124">
        <v>2.8124999999999998E-4</v>
      </c>
      <c r="F27" s="120">
        <v>19</v>
      </c>
      <c r="G27" s="119">
        <f t="shared" si="10"/>
        <v>99945.25</v>
      </c>
      <c r="H27" s="119">
        <f t="shared" si="0"/>
        <v>63.964959999999998</v>
      </c>
      <c r="I27" s="121">
        <f t="shared" si="1"/>
        <v>6.3999999999999994E-4</v>
      </c>
      <c r="J27" s="117">
        <f t="shared" si="2"/>
        <v>0.99936000000000003</v>
      </c>
      <c r="K27" s="116">
        <f t="shared" si="3"/>
        <v>23158.520164134286</v>
      </c>
      <c r="L27" s="116">
        <f>SUM(K27:K$109)</f>
        <v>303213.18327625131</v>
      </c>
      <c r="M27" s="116">
        <f>SUM(L27:L$109)</f>
        <v>3848047.1578791668</v>
      </c>
      <c r="N27" s="116">
        <f t="shared" si="4"/>
        <v>13.72356750467217</v>
      </c>
      <c r="O27" s="116">
        <f>SUM(N27:N$109)</f>
        <v>675.61720649210122</v>
      </c>
      <c r="P27" s="115">
        <f>SUM(O27:O$109)</f>
        <v>16291.278832670967</v>
      </c>
      <c r="R27" s="120">
        <v>19</v>
      </c>
      <c r="S27" s="119">
        <f t="shared" si="11"/>
        <v>99974.375</v>
      </c>
      <c r="T27" s="119">
        <f t="shared" si="5"/>
        <v>28.117792968749999</v>
      </c>
      <c r="U27" s="118">
        <f t="shared" si="6"/>
        <v>2.8124999999999998E-4</v>
      </c>
      <c r="V27" s="117">
        <f t="shared" si="7"/>
        <v>0.99971874999999999</v>
      </c>
      <c r="W27" s="116">
        <f t="shared" si="8"/>
        <v>23165.268777998182</v>
      </c>
      <c r="X27" s="116">
        <f>SUM(W27:W$109)</f>
        <v>308349.91806638951</v>
      </c>
      <c r="Y27" s="116">
        <f>SUM(X27:X$109)</f>
        <v>4021910.0248126108</v>
      </c>
      <c r="Z27" s="116">
        <f t="shared" si="9"/>
        <v>6.0326220776036932</v>
      </c>
      <c r="AA27" s="116">
        <f>SUM(Z27:Z$109)</f>
        <v>294.76531676887646</v>
      </c>
      <c r="AB27" s="115">
        <f>SUM(AA27:AA$109)</f>
        <v>7959.8474286348901</v>
      </c>
    </row>
    <row r="28" spans="2:28">
      <c r="B28" s="123">
        <v>20</v>
      </c>
      <c r="C28" s="125">
        <v>7.4124999999999994E-4</v>
      </c>
      <c r="D28" s="124">
        <v>3.1E-4</v>
      </c>
      <c r="F28" s="120">
        <v>20</v>
      </c>
      <c r="G28" s="119">
        <f t="shared" si="10"/>
        <v>99881.285040000002</v>
      </c>
      <c r="H28" s="119">
        <f t="shared" si="0"/>
        <v>74.037002535900001</v>
      </c>
      <c r="I28" s="121">
        <f t="shared" si="1"/>
        <v>7.4124999999999994E-4</v>
      </c>
      <c r="J28" s="117">
        <f t="shared" si="2"/>
        <v>0.99925874999999997</v>
      </c>
      <c r="K28" s="116">
        <f t="shared" si="3"/>
        <v>21429.350658545594</v>
      </c>
      <c r="L28" s="116">
        <f>SUM(K28:K$109)</f>
        <v>280054.66311211704</v>
      </c>
      <c r="M28" s="116">
        <f>SUM(L28:L$109)</f>
        <v>3544833.9746029149</v>
      </c>
      <c r="N28" s="116">
        <f t="shared" si="4"/>
        <v>14.707876088561962</v>
      </c>
      <c r="O28" s="116">
        <f>SUM(N28:N$109)</f>
        <v>661.8936389874292</v>
      </c>
      <c r="P28" s="115">
        <f>SUM(O28:O$109)</f>
        <v>15615.661626178866</v>
      </c>
      <c r="R28" s="120">
        <v>20</v>
      </c>
      <c r="S28" s="119">
        <f t="shared" si="11"/>
        <v>99946.257207031245</v>
      </c>
      <c r="T28" s="119">
        <f t="shared" si="5"/>
        <v>30.983339734179687</v>
      </c>
      <c r="U28" s="118">
        <f t="shared" si="6"/>
        <v>3.1E-4</v>
      </c>
      <c r="V28" s="117">
        <f t="shared" si="7"/>
        <v>0.99968999999999997</v>
      </c>
      <c r="W28" s="116">
        <f t="shared" si="8"/>
        <v>21443.290320513304</v>
      </c>
      <c r="X28" s="116">
        <f>SUM(W28:W$109)</f>
        <v>285184.64928839129</v>
      </c>
      <c r="Y28" s="116">
        <f>SUM(X28:X$109)</f>
        <v>3713560.106746221</v>
      </c>
      <c r="Z28" s="116">
        <f t="shared" si="9"/>
        <v>6.1550185179251145</v>
      </c>
      <c r="AA28" s="116">
        <f>SUM(Z28:Z$109)</f>
        <v>288.73269469127274</v>
      </c>
      <c r="AB28" s="115">
        <f>SUM(AA28:AA$109)</f>
        <v>7665.0821118660133</v>
      </c>
    </row>
    <row r="29" spans="2:28">
      <c r="B29" s="123">
        <v>21</v>
      </c>
      <c r="C29" s="125">
        <v>8.4875E-4</v>
      </c>
      <c r="D29" s="124">
        <v>3.3875000000000002E-4</v>
      </c>
      <c r="F29" s="120">
        <v>21</v>
      </c>
      <c r="G29" s="119">
        <f t="shared" si="10"/>
        <v>99807.248037464102</v>
      </c>
      <c r="H29" s="119">
        <f t="shared" si="0"/>
        <v>84.711401771797654</v>
      </c>
      <c r="I29" s="121">
        <f t="shared" si="1"/>
        <v>8.4875E-4</v>
      </c>
      <c r="J29" s="117">
        <f t="shared" si="2"/>
        <v>0.99915125000000005</v>
      </c>
      <c r="K29" s="116">
        <f t="shared" si="3"/>
        <v>19827.283474416614</v>
      </c>
      <c r="L29" s="116">
        <f>SUM(K29:K$109)</f>
        <v>258625.31245357156</v>
      </c>
      <c r="M29" s="116">
        <f>SUM(L29:L$109)</f>
        <v>3264779.3114907984</v>
      </c>
      <c r="N29" s="116">
        <f t="shared" si="4"/>
        <v>15.581858193436203</v>
      </c>
      <c r="O29" s="116">
        <f>SUM(N29:N$109)</f>
        <v>647.18576289886721</v>
      </c>
      <c r="P29" s="115">
        <f>SUM(O29:O$109)</f>
        <v>14953.767987191437</v>
      </c>
      <c r="R29" s="120">
        <v>21</v>
      </c>
      <c r="S29" s="119">
        <f t="shared" si="11"/>
        <v>99915.273867297059</v>
      </c>
      <c r="T29" s="119">
        <f t="shared" si="5"/>
        <v>33.84629902254688</v>
      </c>
      <c r="U29" s="118">
        <f t="shared" si="6"/>
        <v>3.3875000000000002E-4</v>
      </c>
      <c r="V29" s="117">
        <f t="shared" si="7"/>
        <v>0.99966124999999995</v>
      </c>
      <c r="W29" s="116">
        <f t="shared" si="8"/>
        <v>19848.743426401797</v>
      </c>
      <c r="X29" s="116">
        <f>SUM(W29:W$109)</f>
        <v>263741.3589678781</v>
      </c>
      <c r="Y29" s="116">
        <f>SUM(X29:X$109)</f>
        <v>3428375.4574578293</v>
      </c>
      <c r="Z29" s="116">
        <f t="shared" si="9"/>
        <v>6.2257054034200072</v>
      </c>
      <c r="AA29" s="116">
        <f>SUM(Z29:Z$109)</f>
        <v>282.57767617334764</v>
      </c>
      <c r="AB29" s="115">
        <f>SUM(AA29:AA$109)</f>
        <v>7376.3494171747416</v>
      </c>
    </row>
    <row r="30" spans="2:28">
      <c r="B30" s="123">
        <v>22</v>
      </c>
      <c r="C30" s="125">
        <v>9.6250000000000003E-4</v>
      </c>
      <c r="D30" s="124">
        <v>3.7125E-4</v>
      </c>
      <c r="F30" s="120">
        <v>22</v>
      </c>
      <c r="G30" s="119">
        <f t="shared" si="10"/>
        <v>99722.536635692304</v>
      </c>
      <c r="H30" s="119">
        <f t="shared" si="0"/>
        <v>95.982941511853852</v>
      </c>
      <c r="I30" s="121">
        <f t="shared" si="1"/>
        <v>9.6250000000000003E-4</v>
      </c>
      <c r="J30" s="117">
        <f t="shared" si="2"/>
        <v>0.99903750000000002</v>
      </c>
      <c r="K30" s="116">
        <f t="shared" si="3"/>
        <v>18343.013951451576</v>
      </c>
      <c r="L30" s="116">
        <f>SUM(K30:K$109)</f>
        <v>238798.02897915497</v>
      </c>
      <c r="M30" s="116">
        <f>SUM(L30:L$109)</f>
        <v>3006153.9990372262</v>
      </c>
      <c r="N30" s="116">
        <f t="shared" si="4"/>
        <v>16.347361970622352</v>
      </c>
      <c r="O30" s="116">
        <f>SUM(N30:N$109)</f>
        <v>631.60390470543098</v>
      </c>
      <c r="P30" s="115">
        <f>SUM(O30:O$109)</f>
        <v>14306.582224292571</v>
      </c>
      <c r="R30" s="120">
        <v>22</v>
      </c>
      <c r="S30" s="119">
        <f t="shared" si="11"/>
        <v>99881.427568274506</v>
      </c>
      <c r="T30" s="119">
        <f t="shared" si="5"/>
        <v>37.080979984721907</v>
      </c>
      <c r="U30" s="118">
        <f t="shared" si="6"/>
        <v>3.7125E-4</v>
      </c>
      <c r="V30" s="117">
        <f t="shared" si="7"/>
        <v>0.99962874999999995</v>
      </c>
      <c r="W30" s="116">
        <f t="shared" si="8"/>
        <v>18372.240430153797</v>
      </c>
      <c r="X30" s="116">
        <f>SUM(W30:W$109)</f>
        <v>243892.61554147623</v>
      </c>
      <c r="Y30" s="116">
        <f>SUM(X30:X$109)</f>
        <v>3164634.0984899513</v>
      </c>
      <c r="Z30" s="116">
        <f t="shared" si="9"/>
        <v>6.3154576478653661</v>
      </c>
      <c r="AA30" s="116">
        <f>SUM(Z30:Z$109)</f>
        <v>276.35197076992756</v>
      </c>
      <c r="AB30" s="115">
        <f>SUM(AA30:AA$109)</f>
        <v>7093.7717410013929</v>
      </c>
    </row>
    <row r="31" spans="2:28">
      <c r="B31" s="123">
        <v>23</v>
      </c>
      <c r="C31" s="125">
        <v>1.0837500000000001E-3</v>
      </c>
      <c r="D31" s="124">
        <v>4.0624999999999998E-4</v>
      </c>
      <c r="F31" s="120">
        <v>23</v>
      </c>
      <c r="G31" s="119">
        <f t="shared" si="10"/>
        <v>99626.553694180446</v>
      </c>
      <c r="H31" s="119">
        <f t="shared" si="0"/>
        <v>107.97027756606806</v>
      </c>
      <c r="I31" s="121">
        <f t="shared" si="1"/>
        <v>1.0837500000000001E-3</v>
      </c>
      <c r="J31" s="117">
        <f t="shared" si="2"/>
        <v>0.99891624999999995</v>
      </c>
      <c r="K31" s="116">
        <f t="shared" si="3"/>
        <v>16967.924815299353</v>
      </c>
      <c r="L31" s="116">
        <f>SUM(K31:K$109)</f>
        <v>220455.0150277034</v>
      </c>
      <c r="M31" s="116">
        <f>SUM(L31:L$109)</f>
        <v>2767355.970058071</v>
      </c>
      <c r="N31" s="116">
        <f t="shared" si="4"/>
        <v>17.026841220908032</v>
      </c>
      <c r="O31" s="116">
        <f>SUM(N31:N$109)</f>
        <v>615.25654273480859</v>
      </c>
      <c r="P31" s="115">
        <f>SUM(O31:O$109)</f>
        <v>13674.978319587142</v>
      </c>
      <c r="R31" s="120">
        <v>23</v>
      </c>
      <c r="S31" s="119">
        <f t="shared" si="11"/>
        <v>99844.346588289787</v>
      </c>
      <c r="T31" s="119">
        <f t="shared" si="5"/>
        <v>40.561765801492726</v>
      </c>
      <c r="U31" s="118">
        <f t="shared" si="6"/>
        <v>4.0624999999999998E-4</v>
      </c>
      <c r="V31" s="117">
        <f t="shared" si="7"/>
        <v>0.99959374999999995</v>
      </c>
      <c r="W31" s="116">
        <f t="shared" si="8"/>
        <v>17005.018273976017</v>
      </c>
      <c r="X31" s="116">
        <f>SUM(W31:W$109)</f>
        <v>225520.37511132244</v>
      </c>
      <c r="Y31" s="116">
        <f>SUM(X31:X$109)</f>
        <v>2920741.4829484751</v>
      </c>
      <c r="Z31" s="116">
        <f t="shared" si="9"/>
        <v>6.3965635868544046</v>
      </c>
      <c r="AA31" s="116">
        <f>SUM(Z31:Z$109)</f>
        <v>270.03651312206222</v>
      </c>
      <c r="AB31" s="115">
        <f>SUM(AA31:AA$109)</f>
        <v>6817.4197702314659</v>
      </c>
    </row>
    <row r="32" spans="2:28">
      <c r="B32" s="123">
        <v>24</v>
      </c>
      <c r="C32" s="125">
        <v>1.2124999999999998E-3</v>
      </c>
      <c r="D32" s="124">
        <v>4.4624999999999998E-4</v>
      </c>
      <c r="F32" s="120">
        <v>24</v>
      </c>
      <c r="G32" s="119">
        <f t="shared" si="10"/>
        <v>99518.583416614376</v>
      </c>
      <c r="H32" s="119">
        <f t="shared" si="0"/>
        <v>120.66628239264492</v>
      </c>
      <c r="I32" s="121">
        <f t="shared" si="1"/>
        <v>1.2124999999999998E-3</v>
      </c>
      <c r="J32" s="117">
        <f t="shared" si="2"/>
        <v>0.99878750000000005</v>
      </c>
      <c r="K32" s="116">
        <f t="shared" si="3"/>
        <v>15694.014654426639</v>
      </c>
      <c r="L32" s="116">
        <f>SUM(K32:K$109)</f>
        <v>203487.09021240406</v>
      </c>
      <c r="M32" s="116">
        <f>SUM(L32:L$109)</f>
        <v>2546900.9550303682</v>
      </c>
      <c r="N32" s="116">
        <f t="shared" si="4"/>
        <v>17.619437748603978</v>
      </c>
      <c r="O32" s="116">
        <f>SUM(N32:N$109)</f>
        <v>598.22970151390052</v>
      </c>
      <c r="P32" s="115">
        <f>SUM(O32:O$109)</f>
        <v>13059.721776852333</v>
      </c>
      <c r="R32" s="120">
        <v>24</v>
      </c>
      <c r="S32" s="119">
        <f t="shared" si="11"/>
        <v>99803.784822488291</v>
      </c>
      <c r="T32" s="119">
        <f t="shared" si="5"/>
        <v>44.5374389770354</v>
      </c>
      <c r="U32" s="118">
        <f t="shared" si="6"/>
        <v>4.4624999999999998E-4</v>
      </c>
      <c r="V32" s="117">
        <f t="shared" si="7"/>
        <v>0.99955375000000002</v>
      </c>
      <c r="W32" s="116">
        <f t="shared" si="8"/>
        <v>15738.990727131681</v>
      </c>
      <c r="X32" s="116">
        <f>SUM(W32:W$109)</f>
        <v>208515.35683734642</v>
      </c>
      <c r="Y32" s="116">
        <f>SUM(X32:X$109)</f>
        <v>2695221.1078371531</v>
      </c>
      <c r="Z32" s="116">
        <f t="shared" si="9"/>
        <v>6.5032635296134362</v>
      </c>
      <c r="AA32" s="116">
        <f>SUM(Z32:Z$109)</f>
        <v>263.63994953520779</v>
      </c>
      <c r="AB32" s="115">
        <f>SUM(AA32:AA$109)</f>
        <v>6547.3832571094026</v>
      </c>
    </row>
    <row r="33" spans="2:28">
      <c r="B33" s="123">
        <v>25</v>
      </c>
      <c r="C33" s="125">
        <v>1.3475E-3</v>
      </c>
      <c r="D33" s="124">
        <v>4.8875000000000004E-4</v>
      </c>
      <c r="F33" s="120">
        <v>25</v>
      </c>
      <c r="G33" s="119">
        <f t="shared" si="10"/>
        <v>99397.917134221731</v>
      </c>
      <c r="H33" s="119">
        <f t="shared" si="0"/>
        <v>133.93869333836378</v>
      </c>
      <c r="I33" s="121">
        <f t="shared" si="1"/>
        <v>1.3475E-3</v>
      </c>
      <c r="J33" s="117">
        <f t="shared" si="2"/>
        <v>0.99865250000000005</v>
      </c>
      <c r="K33" s="116">
        <f t="shared" si="3"/>
        <v>14513.87561264643</v>
      </c>
      <c r="L33" s="116">
        <f>SUM(K33:K$109)</f>
        <v>187793.0755579774</v>
      </c>
      <c r="M33" s="116">
        <f>SUM(L33:L$109)</f>
        <v>2343413.8648179639</v>
      </c>
      <c r="N33" s="116">
        <f t="shared" si="4"/>
        <v>18.108747581519502</v>
      </c>
      <c r="O33" s="116">
        <f>SUM(N33:N$109)</f>
        <v>580.61026376529651</v>
      </c>
      <c r="P33" s="115">
        <f>SUM(O33:O$109)</f>
        <v>12461.492075338432</v>
      </c>
      <c r="R33" s="120">
        <v>25</v>
      </c>
      <c r="S33" s="119">
        <f t="shared" si="11"/>
        <v>99759.247383511261</v>
      </c>
      <c r="T33" s="119">
        <f t="shared" si="5"/>
        <v>48.757332158691135</v>
      </c>
      <c r="U33" s="118">
        <f t="shared" si="6"/>
        <v>4.8875000000000004E-4</v>
      </c>
      <c r="V33" s="117">
        <f t="shared" si="7"/>
        <v>0.99951124999999996</v>
      </c>
      <c r="W33" s="116">
        <f t="shared" si="8"/>
        <v>14566.636298629348</v>
      </c>
      <c r="X33" s="116">
        <f>SUM(W33:W$109)</f>
        <v>192776.36611021476</v>
      </c>
      <c r="Y33" s="116">
        <f>SUM(X33:X$109)</f>
        <v>2486705.7509998064</v>
      </c>
      <c r="Z33" s="116">
        <f t="shared" si="9"/>
        <v>6.5920773064399025</v>
      </c>
      <c r="AA33" s="116">
        <f>SUM(Z33:Z$109)</f>
        <v>257.13668600559447</v>
      </c>
      <c r="AB33" s="115">
        <f>SUM(AA33:AA$109)</f>
        <v>6283.7433075741956</v>
      </c>
    </row>
    <row r="34" spans="2:28">
      <c r="B34" s="123">
        <v>26</v>
      </c>
      <c r="C34" s="125">
        <v>1.4812499999999999E-3</v>
      </c>
      <c r="D34" s="124">
        <v>5.3249999999999999E-4</v>
      </c>
      <c r="F34" s="120">
        <v>26</v>
      </c>
      <c r="G34" s="119">
        <f t="shared" si="10"/>
        <v>99263.978440883366</v>
      </c>
      <c r="H34" s="119">
        <f t="shared" si="0"/>
        <v>147.03476806555847</v>
      </c>
      <c r="I34" s="121">
        <f t="shared" si="1"/>
        <v>1.4812499999999999E-3</v>
      </c>
      <c r="J34" s="117">
        <f t="shared" si="2"/>
        <v>0.99851875000000001</v>
      </c>
      <c r="K34" s="116">
        <f t="shared" si="3"/>
        <v>13420.664967831841</v>
      </c>
      <c r="L34" s="116">
        <f>SUM(K34:K$109)</f>
        <v>173279.199945331</v>
      </c>
      <c r="M34" s="116">
        <f>SUM(L34:L$109)</f>
        <v>2155620.789259986</v>
      </c>
      <c r="N34" s="116">
        <f t="shared" si="4"/>
        <v>18.406814799630471</v>
      </c>
      <c r="O34" s="116">
        <f>SUM(N34:N$109)</f>
        <v>562.50151618377708</v>
      </c>
      <c r="P34" s="115">
        <f>SUM(O34:O$109)</f>
        <v>11880.881811573137</v>
      </c>
      <c r="R34" s="120">
        <v>26</v>
      </c>
      <c r="S34" s="119">
        <f t="shared" si="11"/>
        <v>99710.490051352564</v>
      </c>
      <c r="T34" s="119">
        <f t="shared" si="5"/>
        <v>53.09583595234524</v>
      </c>
      <c r="U34" s="118">
        <f t="shared" si="6"/>
        <v>5.3249999999999999E-4</v>
      </c>
      <c r="V34" s="117">
        <f t="shared" si="7"/>
        <v>0.99946749999999995</v>
      </c>
      <c r="W34" s="116">
        <f t="shared" si="8"/>
        <v>13481.034125128141</v>
      </c>
      <c r="X34" s="116">
        <f>SUM(W34:W$109)</f>
        <v>178209.72981158536</v>
      </c>
      <c r="Y34" s="116">
        <f>SUM(X34:X$109)</f>
        <v>2293929.3848895924</v>
      </c>
      <c r="Z34" s="116">
        <f t="shared" si="9"/>
        <v>6.6468987700284572</v>
      </c>
      <c r="AA34" s="116">
        <f>SUM(Z34:Z$109)</f>
        <v>250.54460869915454</v>
      </c>
      <c r="AB34" s="115">
        <f>SUM(AA34:AA$109)</f>
        <v>6026.6066215686014</v>
      </c>
    </row>
    <row r="35" spans="2:28">
      <c r="B35" s="123">
        <v>27</v>
      </c>
      <c r="C35" s="125">
        <v>1.6137499999999997E-3</v>
      </c>
      <c r="D35" s="124">
        <v>5.775E-4</v>
      </c>
      <c r="F35" s="120">
        <v>27</v>
      </c>
      <c r="G35" s="119">
        <f t="shared" si="10"/>
        <v>99116.943672817812</v>
      </c>
      <c r="H35" s="119">
        <f t="shared" si="0"/>
        <v>159.94996785200971</v>
      </c>
      <c r="I35" s="121">
        <f t="shared" si="1"/>
        <v>1.6137499999999997E-3</v>
      </c>
      <c r="J35" s="117">
        <f t="shared" si="2"/>
        <v>0.99838625000000003</v>
      </c>
      <c r="K35" s="116">
        <f t="shared" si="3"/>
        <v>12408.134822081704</v>
      </c>
      <c r="L35" s="116">
        <f>SUM(K35:K$109)</f>
        <v>159858.53497749919</v>
      </c>
      <c r="M35" s="116">
        <f>SUM(L35:L$109)</f>
        <v>1982341.5893146533</v>
      </c>
      <c r="N35" s="116">
        <f t="shared" si="4"/>
        <v>18.540395897346617</v>
      </c>
      <c r="O35" s="116">
        <f>SUM(N35:N$109)</f>
        <v>544.09470138414667</v>
      </c>
      <c r="P35" s="115">
        <f>SUM(O35:O$109)</f>
        <v>11318.380295389361</v>
      </c>
      <c r="R35" s="120">
        <v>27</v>
      </c>
      <c r="S35" s="119">
        <f t="shared" si="11"/>
        <v>99657.394215400214</v>
      </c>
      <c r="T35" s="119">
        <f t="shared" si="5"/>
        <v>57.552145159393625</v>
      </c>
      <c r="U35" s="118">
        <f t="shared" si="6"/>
        <v>5.775E-4</v>
      </c>
      <c r="V35" s="117">
        <f t="shared" si="7"/>
        <v>0.99942249999999999</v>
      </c>
      <c r="W35" s="116">
        <f t="shared" si="8"/>
        <v>12475.792105978247</v>
      </c>
      <c r="X35" s="116">
        <f>SUM(W35:W$109)</f>
        <v>164728.69568645724</v>
      </c>
      <c r="Y35" s="116">
        <f>SUM(X35:X$109)</f>
        <v>2115719.6550780069</v>
      </c>
      <c r="Z35" s="116">
        <f t="shared" si="9"/>
        <v>6.6710832788911478</v>
      </c>
      <c r="AA35" s="116">
        <f>SUM(Z35:Z$109)</f>
        <v>243.89770992912605</v>
      </c>
      <c r="AB35" s="115">
        <f>SUM(AA35:AA$109)</f>
        <v>5776.0620128694472</v>
      </c>
    </row>
    <row r="36" spans="2:28">
      <c r="B36" s="123">
        <v>28</v>
      </c>
      <c r="C36" s="125">
        <v>1.7424999999999997E-3</v>
      </c>
      <c r="D36" s="124">
        <v>6.2125000000000006E-4</v>
      </c>
      <c r="F36" s="120">
        <v>28</v>
      </c>
      <c r="G36" s="119">
        <f t="shared" si="10"/>
        <v>98956.993704965804</v>
      </c>
      <c r="H36" s="119">
        <f t="shared" si="0"/>
        <v>172.43256153090289</v>
      </c>
      <c r="I36" s="121">
        <f t="shared" si="1"/>
        <v>1.7424999999999997E-3</v>
      </c>
      <c r="J36" s="117">
        <f t="shared" si="2"/>
        <v>0.99825750000000002</v>
      </c>
      <c r="K36" s="116">
        <f t="shared" si="3"/>
        <v>11470.473328252381</v>
      </c>
      <c r="L36" s="116">
        <f>SUM(K36:K$109)</f>
        <v>147450.4001554175</v>
      </c>
      <c r="M36" s="116">
        <f>SUM(L36:L$109)</f>
        <v>1822483.0543371544</v>
      </c>
      <c r="N36" s="116">
        <f t="shared" si="4"/>
        <v>18.506759050444224</v>
      </c>
      <c r="O36" s="116">
        <f>SUM(N36:N$109)</f>
        <v>525.55430548679999</v>
      </c>
      <c r="P36" s="115">
        <f>SUM(O36:O$109)</f>
        <v>10774.285594005214</v>
      </c>
      <c r="R36" s="120">
        <v>28</v>
      </c>
      <c r="S36" s="119">
        <f t="shared" si="11"/>
        <v>99599.842070240818</v>
      </c>
      <c r="T36" s="119">
        <f t="shared" si="5"/>
        <v>61.876401886137117</v>
      </c>
      <c r="U36" s="118">
        <f t="shared" si="6"/>
        <v>6.2125000000000006E-4</v>
      </c>
      <c r="V36" s="117">
        <f t="shared" si="7"/>
        <v>0.99937874999999998</v>
      </c>
      <c r="W36" s="116">
        <f t="shared" si="8"/>
        <v>11544.988274108377</v>
      </c>
      <c r="X36" s="116">
        <f>SUM(W36:W$109)</f>
        <v>152252.90358047897</v>
      </c>
      <c r="Y36" s="116">
        <f>SUM(X36:X$109)</f>
        <v>1950990.9593915485</v>
      </c>
      <c r="Z36" s="116">
        <f t="shared" si="9"/>
        <v>6.6410407086016923</v>
      </c>
      <c r="AA36" s="116">
        <f>SUM(Z36:Z$109)</f>
        <v>237.22662665023489</v>
      </c>
      <c r="AB36" s="115">
        <f>SUM(AA36:AA$109)</f>
        <v>5532.1643029403212</v>
      </c>
    </row>
    <row r="37" spans="2:28">
      <c r="B37" s="123">
        <v>29</v>
      </c>
      <c r="C37" s="125">
        <v>1.86875E-3</v>
      </c>
      <c r="D37" s="124">
        <v>6.6750000000000002E-4</v>
      </c>
      <c r="F37" s="120">
        <v>29</v>
      </c>
      <c r="G37" s="119">
        <f t="shared" si="10"/>
        <v>98784.561143434898</v>
      </c>
      <c r="H37" s="119">
        <f t="shared" si="0"/>
        <v>184.60364863679396</v>
      </c>
      <c r="I37" s="121">
        <f t="shared" si="1"/>
        <v>1.86875E-3</v>
      </c>
      <c r="J37" s="117">
        <f t="shared" si="2"/>
        <v>0.99813125000000003</v>
      </c>
      <c r="K37" s="116">
        <f t="shared" si="3"/>
        <v>10602.301878220274</v>
      </c>
      <c r="L37" s="116">
        <f>SUM(K37:K$109)</f>
        <v>135979.92682716512</v>
      </c>
      <c r="M37" s="116">
        <f>SUM(L37:L$109)</f>
        <v>1675032.6541817368</v>
      </c>
      <c r="N37" s="116">
        <f t="shared" si="4"/>
        <v>18.345418180485314</v>
      </c>
      <c r="O37" s="116">
        <f>SUM(N37:N$109)</f>
        <v>507.04754643635573</v>
      </c>
      <c r="P37" s="115">
        <f>SUM(O37:O$109)</f>
        <v>10248.731288518413</v>
      </c>
      <c r="R37" s="120">
        <v>29</v>
      </c>
      <c r="S37" s="119">
        <f t="shared" si="11"/>
        <v>99537.965668354678</v>
      </c>
      <c r="T37" s="119">
        <f t="shared" si="5"/>
        <v>66.441592083626745</v>
      </c>
      <c r="U37" s="118">
        <f t="shared" si="6"/>
        <v>6.6750000000000002E-4</v>
      </c>
      <c r="V37" s="117">
        <f t="shared" si="7"/>
        <v>0.99933249999999996</v>
      </c>
      <c r="W37" s="116">
        <f t="shared" si="8"/>
        <v>10683.16291679915</v>
      </c>
      <c r="X37" s="116">
        <f>SUM(W37:W$109)</f>
        <v>140707.91530637062</v>
      </c>
      <c r="Y37" s="116">
        <f>SUM(X37:X$109)</f>
        <v>1798738.0558110692</v>
      </c>
      <c r="Z37" s="116">
        <f t="shared" si="9"/>
        <v>6.6027881916328086</v>
      </c>
      <c r="AA37" s="116">
        <f>SUM(Z37:Z$109)</f>
        <v>230.58558594163321</v>
      </c>
      <c r="AB37" s="115">
        <f>SUM(AA37:AA$109)</f>
        <v>5294.9376762900865</v>
      </c>
    </row>
    <row r="38" spans="2:28">
      <c r="B38" s="123">
        <v>30</v>
      </c>
      <c r="C38" s="125">
        <v>1.99125E-3</v>
      </c>
      <c r="D38" s="124">
        <v>7.1374999999999997E-4</v>
      </c>
      <c r="F38" s="120">
        <v>30</v>
      </c>
      <c r="G38" s="119">
        <f t="shared" si="10"/>
        <v>98599.957494798102</v>
      </c>
      <c r="H38" s="119">
        <f t="shared" si="0"/>
        <v>196.33716536151672</v>
      </c>
      <c r="I38" s="121">
        <f t="shared" si="1"/>
        <v>1.99125E-3</v>
      </c>
      <c r="J38" s="117">
        <f t="shared" si="2"/>
        <v>0.99800875</v>
      </c>
      <c r="K38" s="116">
        <f t="shared" si="3"/>
        <v>9798.6007653568067</v>
      </c>
      <c r="L38" s="116">
        <f>SUM(K38:K$109)</f>
        <v>125377.62494894481</v>
      </c>
      <c r="M38" s="116">
        <f>SUM(L38:L$109)</f>
        <v>1539052.7273545719</v>
      </c>
      <c r="N38" s="116">
        <f t="shared" si="4"/>
        <v>18.066170161126607</v>
      </c>
      <c r="O38" s="116">
        <f>SUM(N38:N$109)</f>
        <v>488.70212825587043</v>
      </c>
      <c r="P38" s="115">
        <f>SUM(O38:O$109)</f>
        <v>9741.6837420820575</v>
      </c>
      <c r="R38" s="120">
        <v>30</v>
      </c>
      <c r="S38" s="119">
        <f t="shared" si="11"/>
        <v>99471.524076271045</v>
      </c>
      <c r="T38" s="119">
        <f t="shared" si="5"/>
        <v>70.99780030943846</v>
      </c>
      <c r="U38" s="118">
        <f t="shared" si="6"/>
        <v>7.1374999999999997E-4</v>
      </c>
      <c r="V38" s="117">
        <f t="shared" si="7"/>
        <v>0.99928625000000004</v>
      </c>
      <c r="W38" s="116">
        <f t="shared" si="8"/>
        <v>9885.2147273631363</v>
      </c>
      <c r="X38" s="116">
        <f>SUM(W38:W$109)</f>
        <v>130024.75238957144</v>
      </c>
      <c r="Y38" s="116">
        <f>SUM(X38:X$109)</f>
        <v>1658030.1405046985</v>
      </c>
      <c r="Z38" s="116">
        <f t="shared" si="9"/>
        <v>6.5329370478291082</v>
      </c>
      <c r="AA38" s="116">
        <f>SUM(Z38:Z$109)</f>
        <v>223.98279775000043</v>
      </c>
      <c r="AB38" s="115">
        <f>SUM(AA38:AA$109)</f>
        <v>5064.3520903484523</v>
      </c>
    </row>
    <row r="39" spans="2:28">
      <c r="B39" s="123">
        <v>31</v>
      </c>
      <c r="C39" s="125">
        <v>2.1037499999999997E-3</v>
      </c>
      <c r="D39" s="124">
        <v>7.5874999999999998E-4</v>
      </c>
      <c r="F39" s="120">
        <v>31</v>
      </c>
      <c r="G39" s="119">
        <f t="shared" si="10"/>
        <v>98403.620329436584</v>
      </c>
      <c r="H39" s="119">
        <f t="shared" si="0"/>
        <v>207.01661626805219</v>
      </c>
      <c r="I39" s="121">
        <f t="shared" si="1"/>
        <v>2.1037499999999997E-3</v>
      </c>
      <c r="J39" s="117">
        <f t="shared" si="2"/>
        <v>0.99789625000000004</v>
      </c>
      <c r="K39" s="116">
        <f t="shared" si="3"/>
        <v>9054.7123162803582</v>
      </c>
      <c r="L39" s="116">
        <f>SUM(K39:K$109)</f>
        <v>115579.02418358802</v>
      </c>
      <c r="M39" s="116">
        <f>SUM(L39:L$109)</f>
        <v>1413675.1024056275</v>
      </c>
      <c r="N39" s="116">
        <f t="shared" si="4"/>
        <v>17.637825032754446</v>
      </c>
      <c r="O39" s="116">
        <f>SUM(N39:N$109)</f>
        <v>470.63595809474384</v>
      </c>
      <c r="P39" s="115">
        <f>SUM(O39:O$109)</f>
        <v>9252.9816138261867</v>
      </c>
      <c r="R39" s="120">
        <v>31</v>
      </c>
      <c r="S39" s="119">
        <f t="shared" si="11"/>
        <v>99400.526275961602</v>
      </c>
      <c r="T39" s="119">
        <f t="shared" si="5"/>
        <v>75.420149311885865</v>
      </c>
      <c r="U39" s="118">
        <f t="shared" si="6"/>
        <v>7.5874999999999998E-4</v>
      </c>
      <c r="V39" s="117">
        <f t="shared" si="7"/>
        <v>0.99924124999999997</v>
      </c>
      <c r="W39" s="116">
        <f t="shared" si="8"/>
        <v>9146.4436623624788</v>
      </c>
      <c r="X39" s="116">
        <f>SUM(W39:W$109)</f>
        <v>120139.53766220833</v>
      </c>
      <c r="Y39" s="116">
        <f>SUM(X39:X$109)</f>
        <v>1528005.3881151273</v>
      </c>
      <c r="Z39" s="116">
        <f t="shared" si="9"/>
        <v>6.4258001192754923</v>
      </c>
      <c r="AA39" s="116">
        <f>SUM(Z39:Z$109)</f>
        <v>217.44986070217129</v>
      </c>
      <c r="AB39" s="115">
        <f>SUM(AA39:AA$109)</f>
        <v>4840.3692925984524</v>
      </c>
    </row>
    <row r="40" spans="2:28">
      <c r="B40" s="123">
        <v>32</v>
      </c>
      <c r="C40" s="125">
        <v>2.2062499999999999E-3</v>
      </c>
      <c r="D40" s="124">
        <v>8.0374999999999999E-4</v>
      </c>
      <c r="F40" s="120">
        <v>32</v>
      </c>
      <c r="G40" s="119">
        <f t="shared" si="10"/>
        <v>98196.60371316853</v>
      </c>
      <c r="H40" s="119">
        <f t="shared" ref="H40:H71" si="12">G40*I40</f>
        <v>216.64625694217807</v>
      </c>
      <c r="I40" s="121">
        <f t="shared" ref="I40:I71" si="13">C40*$D$2</f>
        <v>2.2062499999999999E-3</v>
      </c>
      <c r="J40" s="117">
        <f t="shared" ref="J40:J71" si="14">1-I40</f>
        <v>0.99779375000000003</v>
      </c>
      <c r="K40" s="116">
        <f t="shared" ref="K40:K71" si="15">v($C$2)^$F40*$G40</f>
        <v>8366.355060412021</v>
      </c>
      <c r="L40" s="116">
        <f>SUM(K40:K$109)</f>
        <v>106524.31186730764</v>
      </c>
      <c r="M40" s="116">
        <f>SUM(L40:L$109)</f>
        <v>1298096.0782220392</v>
      </c>
      <c r="N40" s="116">
        <f t="shared" ref="N40:N71" si="16">v($C$2)^($F40+1)*$H40</f>
        <v>17.090991529661132</v>
      </c>
      <c r="O40" s="116">
        <f>SUM(N40:N$109)</f>
        <v>452.99813306198939</v>
      </c>
      <c r="P40" s="115">
        <f>SUM(O40:O$109)</f>
        <v>8782.3456557314439</v>
      </c>
      <c r="R40" s="120">
        <v>32</v>
      </c>
      <c r="S40" s="119">
        <f t="shared" si="11"/>
        <v>99325.106126649713</v>
      </c>
      <c r="T40" s="119">
        <f t="shared" ref="T40:T71" si="17">S40*U40</f>
        <v>79.8325540492947</v>
      </c>
      <c r="U40" s="118">
        <f t="shared" ref="U40:U71" si="18">D40*$D$2</f>
        <v>8.0374999999999999E-4</v>
      </c>
      <c r="V40" s="117">
        <f t="shared" ref="V40:V71" si="19">1-U40</f>
        <v>0.99919625000000001</v>
      </c>
      <c r="W40" s="116">
        <f t="shared" ref="W40:W71" si="20">v($C$2)^$R40*$S40</f>
        <v>8462.50351688302</v>
      </c>
      <c r="X40" s="116">
        <f>SUM(W40:W$109)</f>
        <v>110993.09399984583</v>
      </c>
      <c r="Y40" s="116">
        <f>SUM(X40:X$109)</f>
        <v>1407865.8504529193</v>
      </c>
      <c r="Z40" s="116">
        <f t="shared" ref="Z40:Z71" si="21">v($C$2)^($R40+1)*T40</f>
        <v>6.2979048163840066</v>
      </c>
      <c r="AA40" s="116">
        <f>SUM(Z40:Z$109)</f>
        <v>211.0240605828958</v>
      </c>
      <c r="AB40" s="115">
        <f>SUM(AA40:AA$109)</f>
        <v>4622.91943189628</v>
      </c>
    </row>
    <row r="41" spans="2:28">
      <c r="B41" s="123">
        <v>33</v>
      </c>
      <c r="C41" s="125">
        <v>2.3012499999999999E-3</v>
      </c>
      <c r="D41" s="124">
        <v>8.4875E-4</v>
      </c>
      <c r="F41" s="120">
        <v>33</v>
      </c>
      <c r="G41" s="119">
        <f t="shared" ref="G41:G72" si="22">G40-H40</f>
        <v>97979.957456226359</v>
      </c>
      <c r="H41" s="119">
        <f t="shared" si="12"/>
        <v>225.47637709614091</v>
      </c>
      <c r="I41" s="121">
        <f t="shared" si="13"/>
        <v>2.3012499999999999E-3</v>
      </c>
      <c r="J41" s="117">
        <f t="shared" si="14"/>
        <v>0.99769874999999997</v>
      </c>
      <c r="K41" s="116">
        <f t="shared" si="15"/>
        <v>7729.5340644073967</v>
      </c>
      <c r="L41" s="116">
        <f>SUM(K41:K$109)</f>
        <v>98157.956806895643</v>
      </c>
      <c r="M41" s="116">
        <f>SUM(L41:L$109)</f>
        <v>1191571.7663547317</v>
      </c>
      <c r="N41" s="116">
        <f t="shared" si="16"/>
        <v>16.469990986775478</v>
      </c>
      <c r="O41" s="116">
        <f>SUM(N41:N$109)</f>
        <v>435.90714153232824</v>
      </c>
      <c r="P41" s="115">
        <f>SUM(O41:O$109)</f>
        <v>8329.3475226694518</v>
      </c>
      <c r="R41" s="120">
        <v>33</v>
      </c>
      <c r="S41" s="119">
        <f t="shared" ref="S41:S72" si="23">S40-T40</f>
        <v>99245.273572600418</v>
      </c>
      <c r="T41" s="119">
        <f t="shared" si="17"/>
        <v>84.234425944744601</v>
      </c>
      <c r="U41" s="118">
        <f t="shared" si="18"/>
        <v>8.4875E-4</v>
      </c>
      <c r="V41" s="117">
        <f t="shared" si="19"/>
        <v>0.99915125000000005</v>
      </c>
      <c r="W41" s="116">
        <f t="shared" si="20"/>
        <v>7829.353499704931</v>
      </c>
      <c r="X41" s="116">
        <f>SUM(W41:W$109)</f>
        <v>102530.59048296281</v>
      </c>
      <c r="Y41" s="116">
        <f>SUM(X41:X$109)</f>
        <v>1296872.7564530731</v>
      </c>
      <c r="Z41" s="116">
        <f t="shared" si="21"/>
        <v>6.1529294285875542</v>
      </c>
      <c r="AA41" s="116">
        <f>SUM(Z41:Z$109)</f>
        <v>204.72615576651179</v>
      </c>
      <c r="AB41" s="115">
        <f>SUM(AA41:AA$109)</f>
        <v>4411.8953713133851</v>
      </c>
    </row>
    <row r="42" spans="2:28">
      <c r="B42" s="123">
        <v>34</v>
      </c>
      <c r="C42" s="125">
        <v>2.3924999999999997E-3</v>
      </c>
      <c r="D42" s="124">
        <v>8.9499999999999985E-4</v>
      </c>
      <c r="F42" s="120">
        <v>34</v>
      </c>
      <c r="G42" s="119">
        <f t="shared" si="22"/>
        <v>97754.481079130215</v>
      </c>
      <c r="H42" s="119">
        <f t="shared" si="12"/>
        <v>233.87759598181901</v>
      </c>
      <c r="I42" s="121">
        <f t="shared" si="13"/>
        <v>2.3924999999999997E-3</v>
      </c>
      <c r="J42" s="117">
        <f t="shared" si="14"/>
        <v>0.99760749999999998</v>
      </c>
      <c r="K42" s="116">
        <f t="shared" si="15"/>
        <v>7140.5059945756275</v>
      </c>
      <c r="L42" s="116">
        <f>SUM(K42:K$109)</f>
        <v>90428.422742488241</v>
      </c>
      <c r="M42" s="116">
        <f>SUM(L42:L$109)</f>
        <v>1093413.8095478355</v>
      </c>
      <c r="N42" s="116">
        <f t="shared" si="16"/>
        <v>15.818204251872395</v>
      </c>
      <c r="O42" s="116">
        <f>SUM(N42:N$109)</f>
        <v>419.43715054555281</v>
      </c>
      <c r="P42" s="115">
        <f>SUM(O42:O$109)</f>
        <v>7893.440381137123</v>
      </c>
      <c r="R42" s="120">
        <v>34</v>
      </c>
      <c r="S42" s="119">
        <f t="shared" si="23"/>
        <v>99161.039146655676</v>
      </c>
      <c r="T42" s="119">
        <f t="shared" si="17"/>
        <v>88.749130036256815</v>
      </c>
      <c r="U42" s="118">
        <f t="shared" si="18"/>
        <v>8.9499999999999985E-4</v>
      </c>
      <c r="V42" s="117">
        <f t="shared" si="19"/>
        <v>0.99910500000000002</v>
      </c>
      <c r="W42" s="116">
        <f t="shared" si="20"/>
        <v>7243.248459187088</v>
      </c>
      <c r="X42" s="116">
        <f>SUM(W42:W$109)</f>
        <v>94701.236983257899</v>
      </c>
      <c r="Y42" s="116">
        <f>SUM(X42:X$109)</f>
        <v>1194342.1659701103</v>
      </c>
      <c r="Z42" s="116">
        <f t="shared" si="21"/>
        <v>6.0025068249744837</v>
      </c>
      <c r="AA42" s="116">
        <f>SUM(Z42:Z$109)</f>
        <v>198.57322633792427</v>
      </c>
      <c r="AB42" s="115">
        <f>SUM(AA42:AA$109)</f>
        <v>4207.1692155468736</v>
      </c>
    </row>
    <row r="43" spans="2:28">
      <c r="B43" s="123">
        <v>35</v>
      </c>
      <c r="C43" s="125">
        <v>2.4837499999999998E-3</v>
      </c>
      <c r="D43" s="124">
        <v>9.4375000000000004E-4</v>
      </c>
      <c r="F43" s="120">
        <v>35</v>
      </c>
      <c r="G43" s="119">
        <f t="shared" si="22"/>
        <v>97520.603483148399</v>
      </c>
      <c r="H43" s="119">
        <f t="shared" si="12"/>
        <v>242.21679890126981</v>
      </c>
      <c r="I43" s="121">
        <f t="shared" si="13"/>
        <v>2.4837499999999998E-3</v>
      </c>
      <c r="J43" s="117">
        <f t="shared" si="14"/>
        <v>0.99751624999999999</v>
      </c>
      <c r="K43" s="116">
        <f t="shared" si="15"/>
        <v>6595.7614203551893</v>
      </c>
      <c r="L43" s="116">
        <f>SUM(K43:K$109)</f>
        <v>83287.916747912619</v>
      </c>
      <c r="M43" s="116">
        <f>SUM(L43:L$109)</f>
        <v>1002985.3868053474</v>
      </c>
      <c r="N43" s="116">
        <f t="shared" si="16"/>
        <v>15.168724470191853</v>
      </c>
      <c r="O43" s="116">
        <f>SUM(N43:N$109)</f>
        <v>403.61894629368044</v>
      </c>
      <c r="P43" s="115">
        <f>SUM(O43:O$109)</f>
        <v>7474.0032305915702</v>
      </c>
      <c r="R43" s="120">
        <v>35</v>
      </c>
      <c r="S43" s="119">
        <f t="shared" si="23"/>
        <v>99072.290016619416</v>
      </c>
      <c r="T43" s="119">
        <f t="shared" si="17"/>
        <v>93.499473703184577</v>
      </c>
      <c r="U43" s="118">
        <f t="shared" si="18"/>
        <v>9.4375000000000004E-4</v>
      </c>
      <c r="V43" s="117">
        <f t="shared" si="19"/>
        <v>0.99905624999999998</v>
      </c>
      <c r="W43" s="116">
        <f t="shared" si="20"/>
        <v>6700.7090294593654</v>
      </c>
      <c r="X43" s="116">
        <f>SUM(W43:W$109)</f>
        <v>87457.98852407081</v>
      </c>
      <c r="Y43" s="116">
        <f>SUM(X43:X$109)</f>
        <v>1099640.9289868521</v>
      </c>
      <c r="Z43" s="116">
        <f t="shared" si="21"/>
        <v>5.8553649505113672</v>
      </c>
      <c r="AA43" s="116">
        <f>SUM(Z43:Z$109)</f>
        <v>192.57071951294978</v>
      </c>
      <c r="AB43" s="115">
        <f>SUM(AA43:AA$109)</f>
        <v>4008.5959892089495</v>
      </c>
    </row>
    <row r="44" spans="2:28">
      <c r="B44" s="123">
        <v>36</v>
      </c>
      <c r="C44" s="125">
        <v>2.5812499999999998E-3</v>
      </c>
      <c r="D44" s="124">
        <v>9.9375000000000006E-4</v>
      </c>
      <c r="F44" s="120">
        <v>36</v>
      </c>
      <c r="G44" s="119">
        <f t="shared" si="22"/>
        <v>97278.386684247133</v>
      </c>
      <c r="H44" s="119">
        <f t="shared" si="12"/>
        <v>251.0998356287129</v>
      </c>
      <c r="I44" s="121">
        <f t="shared" si="13"/>
        <v>2.5812499999999998E-3</v>
      </c>
      <c r="J44" s="117">
        <f t="shared" si="14"/>
        <v>0.99741875000000002</v>
      </c>
      <c r="K44" s="116">
        <f t="shared" si="15"/>
        <v>6092.0177758586879</v>
      </c>
      <c r="L44" s="116">
        <f>SUM(K44:K$109)</f>
        <v>76692.155327557412</v>
      </c>
      <c r="M44" s="116">
        <f>SUM(L44:L$109)</f>
        <v>919697.47005743464</v>
      </c>
      <c r="N44" s="116">
        <f t="shared" si="16"/>
        <v>14.560204522162252</v>
      </c>
      <c r="O44" s="116">
        <f>SUM(N44:N$109)</f>
        <v>388.45022182348856</v>
      </c>
      <c r="P44" s="115">
        <f>SUM(O44:O$109)</f>
        <v>7070.3842842978893</v>
      </c>
      <c r="R44" s="120">
        <v>36</v>
      </c>
      <c r="S44" s="119">
        <f t="shared" si="23"/>
        <v>98978.790542916235</v>
      </c>
      <c r="T44" s="119">
        <f t="shared" si="17"/>
        <v>98.360173102023012</v>
      </c>
      <c r="U44" s="118">
        <f t="shared" si="18"/>
        <v>9.9375000000000006E-4</v>
      </c>
      <c r="V44" s="117">
        <f t="shared" si="19"/>
        <v>0.99900624999999998</v>
      </c>
      <c r="W44" s="116">
        <f t="shared" si="20"/>
        <v>6198.5048475118647</v>
      </c>
      <c r="X44" s="116">
        <f>SUM(W44:W$109)</f>
        <v>80757.279494611459</v>
      </c>
      <c r="Y44" s="116">
        <f>SUM(X44:X$109)</f>
        <v>1012182.9404627819</v>
      </c>
      <c r="Z44" s="116">
        <f t="shared" si="21"/>
        <v>5.7034853631619571</v>
      </c>
      <c r="AA44" s="116">
        <f>SUM(Z44:Z$109)</f>
        <v>186.71535456243842</v>
      </c>
      <c r="AB44" s="115">
        <f>SUM(AA44:AA$109)</f>
        <v>3816.0252696959997</v>
      </c>
    </row>
    <row r="45" spans="2:28">
      <c r="B45" s="123">
        <v>37</v>
      </c>
      <c r="C45" s="125">
        <v>2.6874999999999998E-3</v>
      </c>
      <c r="D45" s="124">
        <v>1.0462499999999999E-3</v>
      </c>
      <c r="F45" s="120">
        <v>37</v>
      </c>
      <c r="G45" s="119">
        <f t="shared" si="22"/>
        <v>97027.286848618416</v>
      </c>
      <c r="H45" s="119">
        <f t="shared" si="12"/>
        <v>260.76083340566197</v>
      </c>
      <c r="I45" s="121">
        <f t="shared" si="13"/>
        <v>2.6874999999999998E-3</v>
      </c>
      <c r="J45" s="117">
        <f t="shared" si="14"/>
        <v>0.99731250000000005</v>
      </c>
      <c r="K45" s="116">
        <f t="shared" si="15"/>
        <v>5626.1969953469907</v>
      </c>
      <c r="L45" s="116">
        <f>SUM(K45:K$109)</f>
        <v>70600.137551698717</v>
      </c>
      <c r="M45" s="116">
        <f>SUM(L45:L$109)</f>
        <v>843005.31472987705</v>
      </c>
      <c r="N45" s="116">
        <f t="shared" si="16"/>
        <v>14.000374467587996</v>
      </c>
      <c r="O45" s="116">
        <f>SUM(N45:N$109)</f>
        <v>373.89001730132628</v>
      </c>
      <c r="P45" s="115">
        <f>SUM(O45:O$109)</f>
        <v>6681.9340624744009</v>
      </c>
      <c r="R45" s="120">
        <v>37</v>
      </c>
      <c r="S45" s="119">
        <f t="shared" si="23"/>
        <v>98880.430369814218</v>
      </c>
      <c r="T45" s="119">
        <f t="shared" si="17"/>
        <v>103.45365027441811</v>
      </c>
      <c r="U45" s="118">
        <f t="shared" si="18"/>
        <v>1.0462499999999999E-3</v>
      </c>
      <c r="V45" s="117">
        <f t="shared" si="19"/>
        <v>0.99895374999999997</v>
      </c>
      <c r="W45" s="116">
        <f t="shared" si="20"/>
        <v>5733.6528549256</v>
      </c>
      <c r="X45" s="116">
        <f>SUM(W45:W$109)</f>
        <v>74558.774647099577</v>
      </c>
      <c r="Y45" s="116">
        <f>SUM(X45:X$109)</f>
        <v>931425.66096817038</v>
      </c>
      <c r="Z45" s="116">
        <f t="shared" si="21"/>
        <v>5.5544762032091741</v>
      </c>
      <c r="AA45" s="116">
        <f>SUM(Z45:Z$109)</f>
        <v>181.01186919927648</v>
      </c>
      <c r="AB45" s="115">
        <f>SUM(AA45:AA$109)</f>
        <v>3629.3099151335609</v>
      </c>
    </row>
    <row r="46" spans="2:28">
      <c r="B46" s="123">
        <v>38</v>
      </c>
      <c r="C46" s="125">
        <v>2.8087499999999996E-3</v>
      </c>
      <c r="D46" s="124">
        <v>1.1025E-3</v>
      </c>
      <c r="F46" s="120">
        <v>38</v>
      </c>
      <c r="G46" s="119">
        <f t="shared" si="22"/>
        <v>96766.526015212759</v>
      </c>
      <c r="H46" s="119">
        <f t="shared" si="12"/>
        <v>271.79297994522881</v>
      </c>
      <c r="I46" s="121">
        <f t="shared" si="13"/>
        <v>2.8087499999999996E-3</v>
      </c>
      <c r="J46" s="117">
        <f t="shared" si="14"/>
        <v>0.99719124999999997</v>
      </c>
      <c r="K46" s="116">
        <f t="shared" si="15"/>
        <v>5195.4412878907369</v>
      </c>
      <c r="L46" s="116">
        <f>SUM(K46:K$109)</f>
        <v>64973.940556351743</v>
      </c>
      <c r="M46" s="116">
        <f>SUM(L46:L$109)</f>
        <v>772405.17717817845</v>
      </c>
      <c r="N46" s="116">
        <f t="shared" si="16"/>
        <v>13.511755293854726</v>
      </c>
      <c r="O46" s="116">
        <f>SUM(N46:N$109)</f>
        <v>359.88964283373826</v>
      </c>
      <c r="P46" s="115">
        <f>SUM(O46:O$109)</f>
        <v>6308.0440451730747</v>
      </c>
      <c r="R46" s="120">
        <v>38</v>
      </c>
      <c r="S46" s="119">
        <f t="shared" si="23"/>
        <v>98776.976719539802</v>
      </c>
      <c r="T46" s="119">
        <f t="shared" si="17"/>
        <v>108.90161683329262</v>
      </c>
      <c r="U46" s="118">
        <f t="shared" si="18"/>
        <v>1.1025E-3</v>
      </c>
      <c r="V46" s="117">
        <f t="shared" si="19"/>
        <v>0.99889749999999999</v>
      </c>
      <c r="W46" s="116">
        <f t="shared" si="20"/>
        <v>5303.3833524316051</v>
      </c>
      <c r="X46" s="116">
        <f>SUM(W46:W$109)</f>
        <v>68825.121792173974</v>
      </c>
      <c r="Y46" s="116">
        <f>SUM(X46:X$109)</f>
        <v>856866.88632107072</v>
      </c>
      <c r="Z46" s="116">
        <f t="shared" si="21"/>
        <v>5.4138705056072629</v>
      </c>
      <c r="AA46" s="116">
        <f>SUM(Z46:Z$109)</f>
        <v>175.45739299606731</v>
      </c>
      <c r="AB46" s="115">
        <f>SUM(AA46:AA$109)</f>
        <v>3448.2980459342843</v>
      </c>
    </row>
    <row r="47" spans="2:28">
      <c r="B47" s="123">
        <v>39</v>
      </c>
      <c r="C47" s="125">
        <v>2.94875E-3</v>
      </c>
      <c r="D47" s="124">
        <v>1.1637500000000001E-3</v>
      </c>
      <c r="F47" s="120">
        <v>39</v>
      </c>
      <c r="G47" s="119">
        <f t="shared" si="22"/>
        <v>96494.733035267534</v>
      </c>
      <c r="H47" s="119">
        <f t="shared" si="12"/>
        <v>284.53884403774515</v>
      </c>
      <c r="I47" s="121">
        <f t="shared" si="13"/>
        <v>2.94875E-3</v>
      </c>
      <c r="J47" s="117">
        <f t="shared" si="14"/>
        <v>0.99705124999999994</v>
      </c>
      <c r="K47" s="116">
        <f t="shared" si="15"/>
        <v>4797.082029790161</v>
      </c>
      <c r="L47" s="116">
        <f>SUM(K47:K$109)</f>
        <v>59778.499268460997</v>
      </c>
      <c r="M47" s="116">
        <f>SUM(L47:L$109)</f>
        <v>707431.23662182665</v>
      </c>
      <c r="N47" s="116">
        <f t="shared" si="16"/>
        <v>13.097588551244202</v>
      </c>
      <c r="O47" s="116">
        <f>SUM(N47:N$109)</f>
        <v>346.37788753988349</v>
      </c>
      <c r="P47" s="115">
        <f>SUM(O47:O$109)</f>
        <v>5948.1544023393362</v>
      </c>
      <c r="R47" s="120">
        <v>39</v>
      </c>
      <c r="S47" s="119">
        <f t="shared" si="23"/>
        <v>98668.075102706513</v>
      </c>
      <c r="T47" s="119">
        <f t="shared" si="17"/>
        <v>114.82497240077471</v>
      </c>
      <c r="U47" s="118">
        <f t="shared" si="18"/>
        <v>1.1637500000000001E-3</v>
      </c>
      <c r="V47" s="117">
        <f t="shared" si="19"/>
        <v>0.99883624999999998</v>
      </c>
      <c r="W47" s="116">
        <f t="shared" si="20"/>
        <v>4905.1262706347679</v>
      </c>
      <c r="X47" s="116">
        <f>SUM(W47:W$109)</f>
        <v>63521.738439742388</v>
      </c>
      <c r="Y47" s="116">
        <f>SUM(X47:X$109)</f>
        <v>788041.76452889689</v>
      </c>
      <c r="Z47" s="116">
        <f t="shared" si="21"/>
        <v>5.2855006457881597</v>
      </c>
      <c r="AA47" s="116">
        <f>SUM(Z47:Z$109)</f>
        <v>170.04352249046002</v>
      </c>
      <c r="AB47" s="115">
        <f>SUM(AA47:AA$109)</f>
        <v>3272.8406529382164</v>
      </c>
    </row>
    <row r="48" spans="2:28">
      <c r="B48" s="123">
        <v>40</v>
      </c>
      <c r="C48" s="125">
        <v>3.10875E-3</v>
      </c>
      <c r="D48" s="124">
        <v>1.2312499999999999E-3</v>
      </c>
      <c r="F48" s="120">
        <v>40</v>
      </c>
      <c r="G48" s="119">
        <f t="shared" si="22"/>
        <v>96210.194191229792</v>
      </c>
      <c r="H48" s="119">
        <f t="shared" si="12"/>
        <v>299.09344119198562</v>
      </c>
      <c r="I48" s="121">
        <f t="shared" si="13"/>
        <v>3.10875E-3</v>
      </c>
      <c r="J48" s="117">
        <f t="shared" si="14"/>
        <v>0.99689125000000001</v>
      </c>
      <c r="K48" s="116">
        <f t="shared" si="15"/>
        <v>4428.6450316248311</v>
      </c>
      <c r="L48" s="116">
        <f>SUM(K48:K$109)</f>
        <v>54981.417238670831</v>
      </c>
      <c r="M48" s="116">
        <f>SUM(L48:L$109)</f>
        <v>647652.73735336587</v>
      </c>
      <c r="N48" s="116">
        <f t="shared" si="16"/>
        <v>12.74773170561453</v>
      </c>
      <c r="O48" s="116">
        <f>SUM(N48:N$109)</f>
        <v>333.28029898863934</v>
      </c>
      <c r="P48" s="115">
        <f>SUM(O48:O$109)</f>
        <v>5601.7765147994523</v>
      </c>
      <c r="R48" s="120">
        <v>40</v>
      </c>
      <c r="S48" s="119">
        <f t="shared" si="23"/>
        <v>98553.250130305736</v>
      </c>
      <c r="T48" s="119">
        <f t="shared" si="17"/>
        <v>121.34368922293893</v>
      </c>
      <c r="U48" s="118">
        <f t="shared" si="18"/>
        <v>1.2312499999999999E-3</v>
      </c>
      <c r="V48" s="117">
        <f t="shared" si="19"/>
        <v>0.99876874999999998</v>
      </c>
      <c r="W48" s="116">
        <f t="shared" si="20"/>
        <v>4536.4980832752935</v>
      </c>
      <c r="X48" s="116">
        <f>SUM(W48:W$109)</f>
        <v>58616.612169107619</v>
      </c>
      <c r="Y48" s="116">
        <f>SUM(X48:X$109)</f>
        <v>724520.02608915442</v>
      </c>
      <c r="Z48" s="116">
        <f t="shared" si="21"/>
        <v>5.1718178379932445</v>
      </c>
      <c r="AA48" s="116">
        <f>SUM(Z48:Z$109)</f>
        <v>164.7580218446719</v>
      </c>
      <c r="AB48" s="115">
        <f>SUM(AA48:AA$109)</f>
        <v>3102.7971304477569</v>
      </c>
    </row>
    <row r="49" spans="2:28">
      <c r="B49" s="123">
        <v>41</v>
      </c>
      <c r="C49" s="125">
        <v>3.2824999999999998E-3</v>
      </c>
      <c r="D49" s="124">
        <v>1.3024999999999998E-3</v>
      </c>
      <c r="F49" s="120">
        <v>41</v>
      </c>
      <c r="G49" s="119">
        <f t="shared" si="22"/>
        <v>95911.100750037804</v>
      </c>
      <c r="H49" s="119">
        <f t="shared" si="12"/>
        <v>314.82818821199908</v>
      </c>
      <c r="I49" s="121">
        <f t="shared" si="13"/>
        <v>3.2824999999999998E-3</v>
      </c>
      <c r="J49" s="117">
        <f t="shared" si="14"/>
        <v>0.99671750000000003</v>
      </c>
      <c r="K49" s="116">
        <f t="shared" si="15"/>
        <v>4087.8495197988582</v>
      </c>
      <c r="L49" s="116">
        <f>SUM(K49:K$109)</f>
        <v>50552.772207046008</v>
      </c>
      <c r="M49" s="116">
        <f>SUM(L49:L$109)</f>
        <v>592671.320114695</v>
      </c>
      <c r="N49" s="116">
        <f t="shared" si="16"/>
        <v>12.424413008092362</v>
      </c>
      <c r="O49" s="116">
        <f>SUM(N49:N$109)</f>
        <v>320.53256728302478</v>
      </c>
      <c r="P49" s="115">
        <f>SUM(O49:O$109)</f>
        <v>5268.4962158108137</v>
      </c>
      <c r="R49" s="120">
        <v>41</v>
      </c>
      <c r="S49" s="119">
        <f t="shared" si="23"/>
        <v>98431.9064410828</v>
      </c>
      <c r="T49" s="119">
        <f t="shared" si="17"/>
        <v>128.20755813951033</v>
      </c>
      <c r="U49" s="118">
        <f t="shared" si="18"/>
        <v>1.3024999999999998E-3</v>
      </c>
      <c r="V49" s="117">
        <f t="shared" si="19"/>
        <v>0.99869750000000002</v>
      </c>
      <c r="W49" s="116">
        <f t="shared" si="20"/>
        <v>4195.2893703798709</v>
      </c>
      <c r="X49" s="116">
        <f>SUM(W49:W$109)</f>
        <v>54080.11408583232</v>
      </c>
      <c r="Y49" s="116">
        <f>SUM(X49:X$109)</f>
        <v>665903.41392004665</v>
      </c>
      <c r="Z49" s="116">
        <f t="shared" si="21"/>
        <v>5.0595966712220184</v>
      </c>
      <c r="AA49" s="116">
        <f>SUM(Z49:Z$109)</f>
        <v>159.58620400667866</v>
      </c>
      <c r="AB49" s="115">
        <f>SUM(AA49:AA$109)</f>
        <v>2938.039108603085</v>
      </c>
    </row>
    <row r="50" spans="2:28">
      <c r="B50" s="123">
        <v>42</v>
      </c>
      <c r="C50" s="125">
        <v>3.4712499999999999E-3</v>
      </c>
      <c r="D50" s="124">
        <v>1.37875E-3</v>
      </c>
      <c r="F50" s="120">
        <v>42</v>
      </c>
      <c r="G50" s="119">
        <f t="shared" si="22"/>
        <v>95596.272561825812</v>
      </c>
      <c r="H50" s="119">
        <f t="shared" si="12"/>
        <v>331.83856113023785</v>
      </c>
      <c r="I50" s="121">
        <f t="shared" si="13"/>
        <v>3.4712499999999999E-3</v>
      </c>
      <c r="J50" s="117">
        <f t="shared" si="14"/>
        <v>0.99652874999999996</v>
      </c>
      <c r="K50" s="116">
        <f t="shared" si="15"/>
        <v>3772.621438657517</v>
      </c>
      <c r="L50" s="116">
        <f>SUM(K50:K$109)</f>
        <v>46464.922687247155</v>
      </c>
      <c r="M50" s="116">
        <f>SUM(L50:L$109)</f>
        <v>542118.54790764896</v>
      </c>
      <c r="N50" s="116">
        <f t="shared" si="16"/>
        <v>12.125659415685098</v>
      </c>
      <c r="O50" s="116">
        <f>SUM(N50:N$109)</f>
        <v>308.10815427493242</v>
      </c>
      <c r="P50" s="115">
        <f>SUM(O50:O$109)</f>
        <v>4947.9636485277888</v>
      </c>
      <c r="R50" s="120">
        <v>42</v>
      </c>
      <c r="S50" s="119">
        <f t="shared" si="23"/>
        <v>98303.698882943296</v>
      </c>
      <c r="T50" s="119">
        <f t="shared" si="17"/>
        <v>135.53622483485807</v>
      </c>
      <c r="U50" s="118">
        <f t="shared" si="18"/>
        <v>1.37875E-3</v>
      </c>
      <c r="V50" s="117">
        <f t="shared" si="19"/>
        <v>0.99862125000000002</v>
      </c>
      <c r="W50" s="116">
        <f t="shared" si="20"/>
        <v>3879.4675981249547</v>
      </c>
      <c r="X50" s="116">
        <f>SUM(W50:W$109)</f>
        <v>49884.824715452451</v>
      </c>
      <c r="Y50" s="116">
        <f>SUM(X50:X$109)</f>
        <v>611823.29983421473</v>
      </c>
      <c r="Z50" s="116">
        <f t="shared" si="21"/>
        <v>4.9526073619581306</v>
      </c>
      <c r="AA50" s="116">
        <f>SUM(Z50:Z$109)</f>
        <v>154.52660733545665</v>
      </c>
      <c r="AB50" s="115">
        <f>SUM(AA50:AA$109)</f>
        <v>2778.4529045964068</v>
      </c>
    </row>
    <row r="51" spans="2:28">
      <c r="B51" s="123">
        <v>43</v>
      </c>
      <c r="C51" s="125">
        <v>3.6799999999999997E-3</v>
      </c>
      <c r="D51" s="124">
        <v>1.4625E-3</v>
      </c>
      <c r="F51" s="120">
        <v>43</v>
      </c>
      <c r="G51" s="119">
        <f t="shared" si="22"/>
        <v>95264.434000695575</v>
      </c>
      <c r="H51" s="119">
        <f t="shared" si="12"/>
        <v>350.57311712255967</v>
      </c>
      <c r="I51" s="121">
        <f t="shared" si="13"/>
        <v>3.6799999999999997E-3</v>
      </c>
      <c r="J51" s="117">
        <f t="shared" si="14"/>
        <v>0.99631999999999998</v>
      </c>
      <c r="K51" s="116">
        <f t="shared" si="15"/>
        <v>3481.0423393412748</v>
      </c>
      <c r="L51" s="116">
        <f>SUM(K51:K$109)</f>
        <v>42692.30124858964</v>
      </c>
      <c r="M51" s="116">
        <f>SUM(L51:L$109)</f>
        <v>495653.62522040191</v>
      </c>
      <c r="N51" s="116">
        <f t="shared" si="16"/>
        <v>11.861329452570269</v>
      </c>
      <c r="O51" s="116">
        <f>SUM(N51:N$109)</f>
        <v>295.98249485924737</v>
      </c>
      <c r="P51" s="115">
        <f>SUM(O51:O$109)</f>
        <v>4639.8554942528572</v>
      </c>
      <c r="R51" s="120">
        <v>43</v>
      </c>
      <c r="S51" s="119">
        <f t="shared" si="23"/>
        <v>98168.162658108442</v>
      </c>
      <c r="T51" s="119">
        <f t="shared" si="17"/>
        <v>143.57093788748361</v>
      </c>
      <c r="U51" s="118">
        <f t="shared" si="18"/>
        <v>1.4625E-3</v>
      </c>
      <c r="V51" s="117">
        <f t="shared" si="19"/>
        <v>0.99853749999999997</v>
      </c>
      <c r="W51" s="116">
        <f t="shared" si="20"/>
        <v>3587.1470205315181</v>
      </c>
      <c r="X51" s="116">
        <f>SUM(W51:W$109)</f>
        <v>46005.35711732749</v>
      </c>
      <c r="Y51" s="116">
        <f>SUM(X51:X$109)</f>
        <v>561938.47511876235</v>
      </c>
      <c r="Z51" s="116">
        <f t="shared" si="21"/>
        <v>4.857594923636432</v>
      </c>
      <c r="AA51" s="116">
        <f>SUM(Z51:Z$109)</f>
        <v>149.57399997349853</v>
      </c>
      <c r="AB51" s="115">
        <f>SUM(AA51:AA$109)</f>
        <v>2623.9262972609499</v>
      </c>
    </row>
    <row r="52" spans="2:28">
      <c r="B52" s="123">
        <v>44</v>
      </c>
      <c r="C52" s="125">
        <v>3.9112499999999998E-3</v>
      </c>
      <c r="D52" s="124">
        <v>1.5562499999999999E-3</v>
      </c>
      <c r="F52" s="120">
        <v>44</v>
      </c>
      <c r="G52" s="119">
        <f t="shared" si="22"/>
        <v>94913.860883573012</v>
      </c>
      <c r="H52" s="119">
        <f t="shared" si="12"/>
        <v>371.23183838087493</v>
      </c>
      <c r="I52" s="121">
        <f t="shared" si="13"/>
        <v>3.9112499999999998E-3</v>
      </c>
      <c r="J52" s="117">
        <f t="shared" si="14"/>
        <v>0.99608874999999997</v>
      </c>
      <c r="K52" s="116">
        <f t="shared" si="15"/>
        <v>3211.3260217893512</v>
      </c>
      <c r="L52" s="116">
        <f>SUM(K52:K$109)</f>
        <v>39211.258909248369</v>
      </c>
      <c r="M52" s="116">
        <f>SUM(L52:L$109)</f>
        <v>452961.32397181226</v>
      </c>
      <c r="N52" s="116">
        <f t="shared" si="16"/>
        <v>11.629906391410733</v>
      </c>
      <c r="O52" s="116">
        <f>SUM(N52:N$109)</f>
        <v>284.12116540667716</v>
      </c>
      <c r="P52" s="115">
        <f>SUM(O52:O$109)</f>
        <v>4343.8729993936095</v>
      </c>
      <c r="R52" s="120">
        <v>44</v>
      </c>
      <c r="S52" s="119">
        <f t="shared" si="23"/>
        <v>98024.591720220953</v>
      </c>
      <c r="T52" s="119">
        <f t="shared" si="17"/>
        <v>152.55077086459386</v>
      </c>
      <c r="U52" s="118">
        <f t="shared" si="18"/>
        <v>1.5562499999999999E-3</v>
      </c>
      <c r="V52" s="117">
        <f t="shared" si="19"/>
        <v>0.99844374999999996</v>
      </c>
      <c r="W52" s="116">
        <f t="shared" si="20"/>
        <v>3316.5748314944362</v>
      </c>
      <c r="X52" s="116">
        <f>SUM(W52:W$109)</f>
        <v>42418.21009679597</v>
      </c>
      <c r="Y52" s="116">
        <f>SUM(X52:X$109)</f>
        <v>515933.11800143472</v>
      </c>
      <c r="Z52" s="116">
        <f t="shared" si="21"/>
        <v>4.7790922051048277</v>
      </c>
      <c r="AA52" s="116">
        <f>SUM(Z52:Z$109)</f>
        <v>144.71640504986209</v>
      </c>
      <c r="AB52" s="115">
        <f>SUM(AA52:AA$109)</f>
        <v>2474.3522972874507</v>
      </c>
    </row>
    <row r="53" spans="2:28">
      <c r="B53" s="123">
        <v>45</v>
      </c>
      <c r="C53" s="125">
        <v>4.1662499999999998E-3</v>
      </c>
      <c r="D53" s="124">
        <v>1.6599999999999998E-3</v>
      </c>
      <c r="F53" s="120">
        <v>45</v>
      </c>
      <c r="G53" s="119">
        <f t="shared" si="22"/>
        <v>94542.629045192138</v>
      </c>
      <c r="H53" s="119">
        <f t="shared" si="12"/>
        <v>393.88822825953173</v>
      </c>
      <c r="I53" s="121">
        <f t="shared" si="13"/>
        <v>4.1662499999999998E-3</v>
      </c>
      <c r="J53" s="117">
        <f t="shared" si="14"/>
        <v>0.99583374999999996</v>
      </c>
      <c r="K53" s="116">
        <f t="shared" si="15"/>
        <v>2961.8201137839128</v>
      </c>
      <c r="L53" s="116">
        <f>SUM(K53:K$109)</f>
        <v>35999.932887459014</v>
      </c>
      <c r="M53" s="116">
        <f>SUM(L53:L$109)</f>
        <v>413750.06506256387</v>
      </c>
      <c r="N53" s="116">
        <f t="shared" si="16"/>
        <v>11.425632452826138</v>
      </c>
      <c r="O53" s="116">
        <f>SUM(N53:N$109)</f>
        <v>272.49125901526645</v>
      </c>
      <c r="P53" s="115">
        <f>SUM(O53:O$109)</f>
        <v>4059.7518339869334</v>
      </c>
      <c r="R53" s="120">
        <v>45</v>
      </c>
      <c r="S53" s="119">
        <f t="shared" si="23"/>
        <v>97872.040949356364</v>
      </c>
      <c r="T53" s="119">
        <f t="shared" si="17"/>
        <v>162.46758797593154</v>
      </c>
      <c r="U53" s="118">
        <f t="shared" si="18"/>
        <v>1.6599999999999998E-3</v>
      </c>
      <c r="V53" s="117">
        <f t="shared" si="19"/>
        <v>0.99834000000000001</v>
      </c>
      <c r="W53" s="116">
        <f t="shared" si="20"/>
        <v>3066.1235295490014</v>
      </c>
      <c r="X53" s="116">
        <f>SUM(W53:W$109)</f>
        <v>39101.635265301542</v>
      </c>
      <c r="Y53" s="116">
        <f>SUM(X53:X$109)</f>
        <v>473514.90790463868</v>
      </c>
      <c r="Z53" s="116">
        <f t="shared" si="21"/>
        <v>4.7127454250475385</v>
      </c>
      <c r="AA53" s="116">
        <f>SUM(Z53:Z$109)</f>
        <v>139.93731284475726</v>
      </c>
      <c r="AB53" s="115">
        <f>SUM(AA53:AA$109)</f>
        <v>2329.6358922375889</v>
      </c>
    </row>
    <row r="54" spans="2:28">
      <c r="B54" s="123">
        <v>46</v>
      </c>
      <c r="C54" s="125">
        <v>4.4399999999999995E-3</v>
      </c>
      <c r="D54" s="124">
        <v>1.7737500000000002E-3</v>
      </c>
      <c r="F54" s="120">
        <v>46</v>
      </c>
      <c r="G54" s="119">
        <f t="shared" si="22"/>
        <v>94148.740816932608</v>
      </c>
      <c r="H54" s="119">
        <f t="shared" si="12"/>
        <v>418.02040922718072</v>
      </c>
      <c r="I54" s="121">
        <f t="shared" si="13"/>
        <v>4.4399999999999995E-3</v>
      </c>
      <c r="J54" s="117">
        <f t="shared" si="14"/>
        <v>0.99556</v>
      </c>
      <c r="K54" s="116">
        <f t="shared" si="15"/>
        <v>2731.0003988285748</v>
      </c>
      <c r="L54" s="116">
        <f>SUM(K54:K$109)</f>
        <v>33038.112773675086</v>
      </c>
      <c r="M54" s="116">
        <f>SUM(L54:L$109)</f>
        <v>377750.13217510481</v>
      </c>
      <c r="N54" s="116">
        <f t="shared" si="16"/>
        <v>11.227446084073026</v>
      </c>
      <c r="O54" s="116">
        <f>SUM(N54:N$109)</f>
        <v>261.06562656244029</v>
      </c>
      <c r="P54" s="115">
        <f>SUM(O54:O$109)</f>
        <v>3787.2605749716668</v>
      </c>
      <c r="R54" s="120">
        <v>46</v>
      </c>
      <c r="S54" s="119">
        <f t="shared" si="23"/>
        <v>97709.573361380433</v>
      </c>
      <c r="T54" s="119">
        <f t="shared" si="17"/>
        <v>173.31235574974855</v>
      </c>
      <c r="U54" s="118">
        <f t="shared" si="18"/>
        <v>1.7737500000000002E-3</v>
      </c>
      <c r="V54" s="117">
        <f t="shared" si="19"/>
        <v>0.99822624999999998</v>
      </c>
      <c r="W54" s="116">
        <f t="shared" si="20"/>
        <v>2834.2905226758799</v>
      </c>
      <c r="X54" s="116">
        <f>SUM(W54:W$109)</f>
        <v>36035.511735752552</v>
      </c>
      <c r="Y54" s="116">
        <f>SUM(X54:X$109)</f>
        <v>434413.27263933711</v>
      </c>
      <c r="Z54" s="116">
        <f t="shared" si="21"/>
        <v>4.6549285320336491</v>
      </c>
      <c r="AA54" s="116">
        <f>SUM(Z54:Z$109)</f>
        <v>135.22456741970967</v>
      </c>
      <c r="AB54" s="115">
        <f>SUM(AA54:AA$109)</f>
        <v>2189.698579392832</v>
      </c>
    </row>
    <row r="55" spans="2:28">
      <c r="B55" s="123">
        <v>47</v>
      </c>
      <c r="C55" s="125">
        <v>4.7337500000000001E-3</v>
      </c>
      <c r="D55" s="124">
        <v>1.8987499999999998E-3</v>
      </c>
      <c r="F55" s="120">
        <v>47</v>
      </c>
      <c r="G55" s="119">
        <f t="shared" si="22"/>
        <v>93730.720407705434</v>
      </c>
      <c r="H55" s="119">
        <f t="shared" si="12"/>
        <v>443.6977977299756</v>
      </c>
      <c r="I55" s="121">
        <f t="shared" si="13"/>
        <v>4.7337500000000001E-3</v>
      </c>
      <c r="J55" s="117">
        <f t="shared" si="14"/>
        <v>0.99526625000000002</v>
      </c>
      <c r="K55" s="116">
        <f t="shared" si="15"/>
        <v>2517.476626905348</v>
      </c>
      <c r="L55" s="116">
        <f>SUM(K55:K$109)</f>
        <v>30307.112374846511</v>
      </c>
      <c r="M55" s="116">
        <f>SUM(L55:L$109)</f>
        <v>344712.01940142969</v>
      </c>
      <c r="N55" s="116">
        <f t="shared" si="16"/>
        <v>11.034356465382585</v>
      </c>
      <c r="O55" s="116">
        <f>SUM(N55:N$109)</f>
        <v>249.83818047836729</v>
      </c>
      <c r="P55" s="115">
        <f>SUM(O55:O$109)</f>
        <v>3526.1949484092265</v>
      </c>
      <c r="R55" s="120">
        <v>47</v>
      </c>
      <c r="S55" s="119">
        <f t="shared" si="23"/>
        <v>97536.261005630688</v>
      </c>
      <c r="T55" s="119">
        <f t="shared" si="17"/>
        <v>185.19697558444125</v>
      </c>
      <c r="U55" s="118">
        <f t="shared" si="18"/>
        <v>1.8987499999999998E-3</v>
      </c>
      <c r="V55" s="117">
        <f t="shared" si="19"/>
        <v>0.99810125000000005</v>
      </c>
      <c r="W55" s="116">
        <f t="shared" si="20"/>
        <v>2619.6881480197067</v>
      </c>
      <c r="X55" s="116">
        <f>SUM(W55:W$109)</f>
        <v>33201.221213076693</v>
      </c>
      <c r="Y55" s="116">
        <f>SUM(X55:X$109)</f>
        <v>398377.76090358454</v>
      </c>
      <c r="Z55" s="116">
        <f t="shared" si="21"/>
        <v>4.6056785843077943</v>
      </c>
      <c r="AA55" s="116">
        <f>SUM(Z55:Z$109)</f>
        <v>130.56963888767604</v>
      </c>
      <c r="AB55" s="115">
        <f>SUM(AA55:AA$109)</f>
        <v>2054.4740119731227</v>
      </c>
    </row>
    <row r="56" spans="2:28">
      <c r="B56" s="123">
        <v>48</v>
      </c>
      <c r="C56" s="125">
        <v>5.0549999999999996E-3</v>
      </c>
      <c r="D56" s="124">
        <v>2.0374999999999998E-3</v>
      </c>
      <c r="F56" s="120">
        <v>48</v>
      </c>
      <c r="G56" s="119">
        <f t="shared" si="22"/>
        <v>93287.022609975465</v>
      </c>
      <c r="H56" s="119">
        <f t="shared" si="12"/>
        <v>471.56589929342596</v>
      </c>
      <c r="I56" s="121">
        <f t="shared" si="13"/>
        <v>5.0549999999999996E-3</v>
      </c>
      <c r="J56" s="117">
        <f t="shared" si="14"/>
        <v>0.99494499999999997</v>
      </c>
      <c r="K56" s="116">
        <f t="shared" si="15"/>
        <v>2319.9625202988291</v>
      </c>
      <c r="L56" s="116">
        <f>SUM(K56:K$109)</f>
        <v>27789.63574794116</v>
      </c>
      <c r="M56" s="116">
        <f>SUM(L56:L$109)</f>
        <v>314404.90702658327</v>
      </c>
      <c r="N56" s="116">
        <f t="shared" si="16"/>
        <v>10.858713463065348</v>
      </c>
      <c r="O56" s="116">
        <f>SUM(N56:N$109)</f>
        <v>238.80382401298473</v>
      </c>
      <c r="P56" s="115">
        <f>SUM(O56:O$109)</f>
        <v>3276.3567679308599</v>
      </c>
      <c r="R56" s="120">
        <v>48</v>
      </c>
      <c r="S56" s="119">
        <f t="shared" si="23"/>
        <v>97351.06403004624</v>
      </c>
      <c r="T56" s="119">
        <f t="shared" si="17"/>
        <v>198.35279296121919</v>
      </c>
      <c r="U56" s="118">
        <f t="shared" si="18"/>
        <v>2.0374999999999998E-3</v>
      </c>
      <c r="V56" s="117">
        <f t="shared" si="19"/>
        <v>0.99796249999999997</v>
      </c>
      <c r="W56" s="116">
        <f t="shared" si="20"/>
        <v>2421.031495508013</v>
      </c>
      <c r="X56" s="116">
        <f>SUM(W56:W$109)</f>
        <v>30581.533065056989</v>
      </c>
      <c r="Y56" s="116">
        <f>SUM(X56:X$109)</f>
        <v>365176.53969050781</v>
      </c>
      <c r="Z56" s="116">
        <f t="shared" si="21"/>
        <v>4.5674552519421994</v>
      </c>
      <c r="AA56" s="116">
        <f>SUM(Z56:Z$109)</f>
        <v>125.96396030336822</v>
      </c>
      <c r="AB56" s="115">
        <f>SUM(AA56:AA$109)</f>
        <v>1923.9043730854469</v>
      </c>
    </row>
    <row r="57" spans="2:28">
      <c r="B57" s="123">
        <v>49</v>
      </c>
      <c r="C57" s="125">
        <v>5.4062499999999996E-3</v>
      </c>
      <c r="D57" s="124">
        <v>2.1937499999999995E-3</v>
      </c>
      <c r="F57" s="120">
        <v>49</v>
      </c>
      <c r="G57" s="119">
        <f t="shared" si="22"/>
        <v>92815.456710682032</v>
      </c>
      <c r="H57" s="119">
        <f t="shared" si="12"/>
        <v>501.7835628421247</v>
      </c>
      <c r="I57" s="121">
        <f t="shared" si="13"/>
        <v>5.4062499999999996E-3</v>
      </c>
      <c r="J57" s="117">
        <f t="shared" si="14"/>
        <v>0.99459375000000005</v>
      </c>
      <c r="K57" s="116">
        <f t="shared" si="15"/>
        <v>2137.2547312580718</v>
      </c>
      <c r="L57" s="116">
        <f>SUM(K57:K$109)</f>
        <v>25469.673227642332</v>
      </c>
      <c r="M57" s="116">
        <f>SUM(L57:L$109)</f>
        <v>286615.27127864206</v>
      </c>
      <c r="N57" s="116">
        <f t="shared" si="16"/>
        <v>10.69864202857773</v>
      </c>
      <c r="O57" s="116">
        <f>SUM(N57:N$109)</f>
        <v>227.94511054991938</v>
      </c>
      <c r="P57" s="115">
        <f>SUM(O57:O$109)</f>
        <v>3037.5529439178749</v>
      </c>
      <c r="R57" s="120">
        <v>49</v>
      </c>
      <c r="S57" s="119">
        <f t="shared" si="23"/>
        <v>97152.711237085023</v>
      </c>
      <c r="T57" s="119">
        <f t="shared" si="17"/>
        <v>213.12876027635522</v>
      </c>
      <c r="U57" s="118">
        <f t="shared" si="18"/>
        <v>2.1937499999999995E-3</v>
      </c>
      <c r="V57" s="117">
        <f t="shared" si="19"/>
        <v>0.99780625000000001</v>
      </c>
      <c r="W57" s="116">
        <f t="shared" si="20"/>
        <v>2237.1283739221435</v>
      </c>
      <c r="X57" s="116">
        <f>SUM(W57:W$109)</f>
        <v>28160.501569548971</v>
      </c>
      <c r="Y57" s="116">
        <f>SUM(X57:X$109)</f>
        <v>334595.0066254508</v>
      </c>
      <c r="Z57" s="116">
        <f t="shared" si="21"/>
        <v>4.5441670095293523</v>
      </c>
      <c r="AA57" s="116">
        <f>SUM(Z57:Z$109)</f>
        <v>121.39650505142603</v>
      </c>
      <c r="AB57" s="115">
        <f>SUM(AA57:AA$109)</f>
        <v>1797.9404127820785</v>
      </c>
    </row>
    <row r="58" spans="2:28">
      <c r="B58" s="123">
        <v>50</v>
      </c>
      <c r="C58" s="125">
        <v>5.7887500000000005E-3</v>
      </c>
      <c r="D58" s="124">
        <v>2.3687499999999998E-3</v>
      </c>
      <c r="F58" s="120">
        <v>50</v>
      </c>
      <c r="G58" s="119">
        <f t="shared" si="22"/>
        <v>92313.673147839902</v>
      </c>
      <c r="H58" s="119">
        <f t="shared" si="12"/>
        <v>534.38077543455825</v>
      </c>
      <c r="I58" s="121">
        <f t="shared" si="13"/>
        <v>5.7887500000000005E-3</v>
      </c>
      <c r="J58" s="117">
        <f t="shared" si="14"/>
        <v>0.99421124999999999</v>
      </c>
      <c r="K58" s="116">
        <f t="shared" si="15"/>
        <v>1968.240923951118</v>
      </c>
      <c r="L58" s="116">
        <f>SUM(K58:K$109)</f>
        <v>23332.418496384264</v>
      </c>
      <c r="M58" s="116">
        <f>SUM(L58:L$109)</f>
        <v>261145.5980509998</v>
      </c>
      <c r="N58" s="116">
        <f t="shared" si="16"/>
        <v>10.549680230112996</v>
      </c>
      <c r="O58" s="116">
        <f>SUM(N58:N$109)</f>
        <v>217.24646852134165</v>
      </c>
      <c r="P58" s="115">
        <f>SUM(O58:O$109)</f>
        <v>2809.6078333679552</v>
      </c>
      <c r="R58" s="120">
        <v>50</v>
      </c>
      <c r="S58" s="119">
        <f t="shared" si="23"/>
        <v>96939.58247680866</v>
      </c>
      <c r="T58" s="119">
        <f t="shared" si="17"/>
        <v>229.6256359919405</v>
      </c>
      <c r="U58" s="118">
        <f t="shared" si="18"/>
        <v>2.3687499999999998E-3</v>
      </c>
      <c r="V58" s="117">
        <f t="shared" si="19"/>
        <v>0.99763124999999997</v>
      </c>
      <c r="W58" s="116">
        <f t="shared" si="20"/>
        <v>2066.8709940294921</v>
      </c>
      <c r="X58" s="116">
        <f>SUM(W58:W$109)</f>
        <v>25923.373195626831</v>
      </c>
      <c r="Y58" s="116">
        <f>SUM(X58:X$109)</f>
        <v>306434.50505590183</v>
      </c>
      <c r="Z58" s="116">
        <f t="shared" si="21"/>
        <v>4.5332413584327398</v>
      </c>
      <c r="AA58" s="116">
        <f>SUM(Z58:Z$109)</f>
        <v>116.85233804189667</v>
      </c>
      <c r="AB58" s="115">
        <f>SUM(AA58:AA$109)</f>
        <v>1676.5439077306526</v>
      </c>
    </row>
    <row r="59" spans="2:28">
      <c r="B59" s="123">
        <v>51</v>
      </c>
      <c r="C59" s="125">
        <v>6.1887499999999989E-3</v>
      </c>
      <c r="D59" s="124">
        <v>2.5574999999999994E-3</v>
      </c>
      <c r="F59" s="120">
        <v>51</v>
      </c>
      <c r="G59" s="119">
        <f t="shared" si="22"/>
        <v>91779.29237240534</v>
      </c>
      <c r="H59" s="119">
        <f t="shared" si="12"/>
        <v>567.99909566972349</v>
      </c>
      <c r="I59" s="121">
        <f t="shared" si="13"/>
        <v>6.1887499999999989E-3</v>
      </c>
      <c r="J59" s="117">
        <f t="shared" si="14"/>
        <v>0.99381125000000003</v>
      </c>
      <c r="K59" s="116">
        <f t="shared" si="15"/>
        <v>1811.8956197246259</v>
      </c>
      <c r="L59" s="116">
        <f>SUM(K59:K$109)</f>
        <v>21364.177572433146</v>
      </c>
      <c r="M59" s="116">
        <f>SUM(L59:L$109)</f>
        <v>237813.17955461552</v>
      </c>
      <c r="N59" s="116">
        <f t="shared" si="16"/>
        <v>10.382749089417386</v>
      </c>
      <c r="O59" s="116">
        <f>SUM(N59:N$109)</f>
        <v>206.69678829122864</v>
      </c>
      <c r="P59" s="115">
        <f>SUM(O59:O$109)</f>
        <v>2592.361364846613</v>
      </c>
      <c r="R59" s="120">
        <v>51</v>
      </c>
      <c r="S59" s="119">
        <f t="shared" si="23"/>
        <v>96709.956840816725</v>
      </c>
      <c r="T59" s="119">
        <f t="shared" si="17"/>
        <v>247.33571462038873</v>
      </c>
      <c r="U59" s="118">
        <f t="shared" si="18"/>
        <v>2.5574999999999994E-3</v>
      </c>
      <c r="V59" s="117">
        <f t="shared" si="19"/>
        <v>0.99744250000000001</v>
      </c>
      <c r="W59" s="116">
        <f t="shared" si="20"/>
        <v>1909.2361975577639</v>
      </c>
      <c r="X59" s="116">
        <f>SUM(W59:W$109)</f>
        <v>23856.502201597341</v>
      </c>
      <c r="Y59" s="116">
        <f>SUM(X59:X$109)</f>
        <v>280511.13186027505</v>
      </c>
      <c r="Z59" s="116">
        <f t="shared" si="21"/>
        <v>4.5211773844944263</v>
      </c>
      <c r="AA59" s="116">
        <f>SUM(Z59:Z$109)</f>
        <v>112.31909668346395</v>
      </c>
      <c r="AB59" s="115">
        <f>SUM(AA59:AA$109)</f>
        <v>1559.6915696887559</v>
      </c>
    </row>
    <row r="60" spans="2:28">
      <c r="B60" s="123">
        <v>52</v>
      </c>
      <c r="C60" s="125">
        <v>6.6074999999999997E-3</v>
      </c>
      <c r="D60" s="124">
        <v>2.7612499999999998E-3</v>
      </c>
      <c r="F60" s="120">
        <v>52</v>
      </c>
      <c r="G60" s="119">
        <f t="shared" si="22"/>
        <v>91211.293276735611</v>
      </c>
      <c r="H60" s="119">
        <f t="shared" si="12"/>
        <v>602.67862032603057</v>
      </c>
      <c r="I60" s="121">
        <f t="shared" si="13"/>
        <v>6.6074999999999997E-3</v>
      </c>
      <c r="J60" s="117">
        <f t="shared" si="14"/>
        <v>0.99339250000000001</v>
      </c>
      <c r="K60" s="116">
        <f t="shared" si="15"/>
        <v>1667.2983802852361</v>
      </c>
      <c r="L60" s="116">
        <f>SUM(K60:K$109)</f>
        <v>19552.281952708519</v>
      </c>
      <c r="M60" s="116">
        <f>SUM(L60:L$109)</f>
        <v>216449.00198218238</v>
      </c>
      <c r="N60" s="116">
        <f t="shared" si="16"/>
        <v>10.200624118272867</v>
      </c>
      <c r="O60" s="116">
        <f>SUM(N60:N$109)</f>
        <v>196.31403920181128</v>
      </c>
      <c r="P60" s="115">
        <f>SUM(O60:O$109)</f>
        <v>2385.6645765553844</v>
      </c>
      <c r="R60" s="120">
        <v>52</v>
      </c>
      <c r="S60" s="119">
        <f t="shared" si="23"/>
        <v>96462.621126196333</v>
      </c>
      <c r="T60" s="119">
        <f t="shared" si="17"/>
        <v>266.35741258470961</v>
      </c>
      <c r="U60" s="118">
        <f t="shared" si="18"/>
        <v>2.7612499999999998E-3</v>
      </c>
      <c r="V60" s="117">
        <f t="shared" si="19"/>
        <v>0.99723874999999995</v>
      </c>
      <c r="W60" s="116">
        <f t="shared" si="20"/>
        <v>1763.2901166504719</v>
      </c>
      <c r="X60" s="116">
        <f>SUM(W60:W$109)</f>
        <v>21947.266004039575</v>
      </c>
      <c r="Y60" s="116">
        <f>SUM(X60:X$109)</f>
        <v>256654.62965867767</v>
      </c>
      <c r="Z60" s="116">
        <f t="shared" si="21"/>
        <v>4.5082266987047355</v>
      </c>
      <c r="AA60" s="116">
        <f>SUM(Z60:Z$109)</f>
        <v>107.79791929896953</v>
      </c>
      <c r="AB60" s="115">
        <f>SUM(AA60:AA$109)</f>
        <v>1447.3724730052918</v>
      </c>
    </row>
    <row r="61" spans="2:28">
      <c r="B61" s="123">
        <v>53</v>
      </c>
      <c r="C61" s="125">
        <v>7.0524999999999997E-3</v>
      </c>
      <c r="D61" s="124">
        <v>2.9824999999999999E-3</v>
      </c>
      <c r="F61" s="120">
        <v>53</v>
      </c>
      <c r="G61" s="119">
        <f t="shared" si="22"/>
        <v>90608.614656409583</v>
      </c>
      <c r="H61" s="119">
        <f t="shared" si="12"/>
        <v>639.01725486432861</v>
      </c>
      <c r="I61" s="121">
        <f t="shared" si="13"/>
        <v>7.0524999999999997E-3</v>
      </c>
      <c r="J61" s="117">
        <f t="shared" si="14"/>
        <v>0.99294749999999998</v>
      </c>
      <c r="K61" s="116">
        <f t="shared" si="15"/>
        <v>1533.5941724421307</v>
      </c>
      <c r="L61" s="116">
        <f>SUM(K61:K$109)</f>
        <v>17884.98357242328</v>
      </c>
      <c r="M61" s="116">
        <f>SUM(L61:L$109)</f>
        <v>196896.72002947389</v>
      </c>
      <c r="N61" s="116">
        <f t="shared" si="16"/>
        <v>10.014511945507525</v>
      </c>
      <c r="O61" s="116">
        <f>SUM(N61:N$109)</f>
        <v>186.11341508353837</v>
      </c>
      <c r="P61" s="115">
        <f>SUM(O61:O$109)</f>
        <v>2189.3505373535731</v>
      </c>
      <c r="R61" s="120">
        <v>53</v>
      </c>
      <c r="S61" s="119">
        <f t="shared" si="23"/>
        <v>96196.263713611625</v>
      </c>
      <c r="T61" s="119">
        <f t="shared" si="17"/>
        <v>286.90535652584668</v>
      </c>
      <c r="U61" s="118">
        <f t="shared" si="18"/>
        <v>2.9824999999999999E-3</v>
      </c>
      <c r="V61" s="117">
        <f t="shared" si="19"/>
        <v>0.9970175</v>
      </c>
      <c r="W61" s="116">
        <f t="shared" si="20"/>
        <v>1628.1678072369173</v>
      </c>
      <c r="X61" s="116">
        <f>SUM(W61:W$109)</f>
        <v>20183.975887389101</v>
      </c>
      <c r="Y61" s="116">
        <f>SUM(X61:X$109)</f>
        <v>234707.36365463809</v>
      </c>
      <c r="Z61" s="116">
        <f t="shared" si="21"/>
        <v>4.4963060047075052</v>
      </c>
      <c r="AA61" s="116">
        <f>SUM(Z61:Z$109)</f>
        <v>103.2896926002648</v>
      </c>
      <c r="AB61" s="115">
        <f>SUM(AA61:AA$109)</f>
        <v>1339.5745537063221</v>
      </c>
    </row>
    <row r="62" spans="2:28">
      <c r="B62" s="123">
        <v>54</v>
      </c>
      <c r="C62" s="125">
        <v>7.528749999999999E-3</v>
      </c>
      <c r="D62" s="124">
        <v>3.2237500000000001E-3</v>
      </c>
      <c r="F62" s="120">
        <v>54</v>
      </c>
      <c r="G62" s="119">
        <f t="shared" si="22"/>
        <v>89969.597401545252</v>
      </c>
      <c r="H62" s="119">
        <f t="shared" si="12"/>
        <v>677.35860643688375</v>
      </c>
      <c r="I62" s="121">
        <f t="shared" si="13"/>
        <v>7.528749999999999E-3</v>
      </c>
      <c r="J62" s="117">
        <f t="shared" si="14"/>
        <v>0.99247125000000003</v>
      </c>
      <c r="K62" s="116">
        <f t="shared" si="15"/>
        <v>1409.9800921675762</v>
      </c>
      <c r="L62" s="116">
        <f>SUM(K62:K$109)</f>
        <v>16351.389399981146</v>
      </c>
      <c r="M62" s="116">
        <f>SUM(L62:L$109)</f>
        <v>179011.7364570506</v>
      </c>
      <c r="N62" s="116">
        <f t="shared" si="16"/>
        <v>9.8290626100987382</v>
      </c>
      <c r="O62" s="116">
        <f>SUM(N62:N$109)</f>
        <v>176.09890313803086</v>
      </c>
      <c r="P62" s="115">
        <f>SUM(O62:O$109)</f>
        <v>2003.237122270034</v>
      </c>
      <c r="R62" s="120">
        <v>54</v>
      </c>
      <c r="S62" s="119">
        <f t="shared" si="23"/>
        <v>95909.358357085774</v>
      </c>
      <c r="T62" s="119">
        <f t="shared" si="17"/>
        <v>309.18779400365526</v>
      </c>
      <c r="U62" s="118">
        <f t="shared" si="18"/>
        <v>3.2237500000000001E-3</v>
      </c>
      <c r="V62" s="117">
        <f t="shared" si="19"/>
        <v>0.99677625000000003</v>
      </c>
      <c r="W62" s="116">
        <f t="shared" si="20"/>
        <v>1503.0664784739192</v>
      </c>
      <c r="X62" s="116">
        <f>SUM(W62:W$109)</f>
        <v>18555.808080152179</v>
      </c>
      <c r="Y62" s="116">
        <f>SUM(X62:X$109)</f>
        <v>214523.38776724902</v>
      </c>
      <c r="Z62" s="116">
        <f t="shared" si="21"/>
        <v>4.4865838518336076</v>
      </c>
      <c r="AA62" s="116">
        <f>SUM(Z62:Z$109)</f>
        <v>98.79338659555728</v>
      </c>
      <c r="AB62" s="115">
        <f>SUM(AA62:AA$109)</f>
        <v>1236.2848611060572</v>
      </c>
    </row>
    <row r="63" spans="2:28">
      <c r="B63" s="123">
        <v>55</v>
      </c>
      <c r="C63" s="125">
        <v>8.038749999999999E-3</v>
      </c>
      <c r="D63" s="124">
        <v>3.48125E-3</v>
      </c>
      <c r="F63" s="120">
        <v>55</v>
      </c>
      <c r="G63" s="119">
        <f t="shared" si="22"/>
        <v>89292.238795108366</v>
      </c>
      <c r="H63" s="119">
        <f t="shared" si="12"/>
        <v>717.79798461417727</v>
      </c>
      <c r="I63" s="121">
        <f t="shared" si="13"/>
        <v>8.038749999999999E-3</v>
      </c>
      <c r="J63" s="117">
        <f t="shared" si="14"/>
        <v>0.99196125000000002</v>
      </c>
      <c r="K63" s="116">
        <f t="shared" si="15"/>
        <v>1295.7080597672866</v>
      </c>
      <c r="L63" s="116">
        <f>SUM(K63:K$109)</f>
        <v>14941.409307813568</v>
      </c>
      <c r="M63" s="116">
        <f>SUM(L63:L$109)</f>
        <v>162660.34705706948</v>
      </c>
      <c r="N63" s="116">
        <f t="shared" si="16"/>
        <v>9.6443270050502523</v>
      </c>
      <c r="O63" s="116">
        <f>SUM(N63:N$109)</f>
        <v>166.2698405279321</v>
      </c>
      <c r="P63" s="115">
        <f>SUM(O63:O$109)</f>
        <v>1827.1382191320031</v>
      </c>
      <c r="R63" s="120">
        <v>55</v>
      </c>
      <c r="S63" s="119">
        <f t="shared" si="23"/>
        <v>95600.170563082123</v>
      </c>
      <c r="T63" s="119">
        <f t="shared" si="17"/>
        <v>332.80809377272965</v>
      </c>
      <c r="U63" s="118">
        <f t="shared" si="18"/>
        <v>3.48125E-3</v>
      </c>
      <c r="V63" s="117">
        <f t="shared" si="19"/>
        <v>0.99651875000000001</v>
      </c>
      <c r="W63" s="116">
        <f t="shared" si="20"/>
        <v>1387.2416369573509</v>
      </c>
      <c r="X63" s="116">
        <f>SUM(W63:W$109)</f>
        <v>17052.741601678259</v>
      </c>
      <c r="Y63" s="116">
        <f>SUM(X63:X$109)</f>
        <v>195967.57968709685</v>
      </c>
      <c r="Z63" s="116">
        <f t="shared" si="21"/>
        <v>4.4716064339423864</v>
      </c>
      <c r="AA63" s="116">
        <f>SUM(Z63:Z$109)</f>
        <v>94.306802743723665</v>
      </c>
      <c r="AB63" s="115">
        <f>SUM(AA63:AA$109)</f>
        <v>1137.4914745104998</v>
      </c>
    </row>
    <row r="64" spans="2:28">
      <c r="B64" s="123">
        <v>56</v>
      </c>
      <c r="C64" s="125">
        <v>8.5637500000000002E-3</v>
      </c>
      <c r="D64" s="124">
        <v>3.7449999999999996E-3</v>
      </c>
      <c r="F64" s="120">
        <v>56</v>
      </c>
      <c r="G64" s="119">
        <f t="shared" si="22"/>
        <v>88574.440810494183</v>
      </c>
      <c r="H64" s="119">
        <f t="shared" si="12"/>
        <v>758.52936749086962</v>
      </c>
      <c r="I64" s="121">
        <f t="shared" si="13"/>
        <v>8.5637500000000002E-3</v>
      </c>
      <c r="J64" s="117">
        <f t="shared" si="14"/>
        <v>0.99143625000000002</v>
      </c>
      <c r="K64" s="116">
        <f t="shared" si="15"/>
        <v>1190.0853579646594</v>
      </c>
      <c r="L64" s="116">
        <f>SUM(K64:K$109)</f>
        <v>13645.701248046285</v>
      </c>
      <c r="M64" s="116">
        <f>SUM(L64:L$109)</f>
        <v>147718.93774925591</v>
      </c>
      <c r="N64" s="116">
        <f t="shared" si="16"/>
        <v>9.4366606335831946</v>
      </c>
      <c r="O64" s="116">
        <f>SUM(N64:N$109)</f>
        <v>156.62551352288185</v>
      </c>
      <c r="P64" s="115">
        <f>SUM(O64:O$109)</f>
        <v>1660.868378604071</v>
      </c>
      <c r="R64" s="120">
        <v>56</v>
      </c>
      <c r="S64" s="119">
        <f t="shared" si="23"/>
        <v>95267.362469309388</v>
      </c>
      <c r="T64" s="119">
        <f t="shared" si="17"/>
        <v>356.7762724475636</v>
      </c>
      <c r="U64" s="118">
        <f t="shared" si="18"/>
        <v>3.7449999999999996E-3</v>
      </c>
      <c r="V64" s="117">
        <f t="shared" si="19"/>
        <v>0.996255</v>
      </c>
      <c r="W64" s="116">
        <f t="shared" si="20"/>
        <v>1280.0113907487898</v>
      </c>
      <c r="X64" s="116">
        <f>SUM(W64:W$109)</f>
        <v>15665.499964720904</v>
      </c>
      <c r="Y64" s="116">
        <f>SUM(X64:X$109)</f>
        <v>178914.83808541854</v>
      </c>
      <c r="Z64" s="116">
        <f t="shared" si="21"/>
        <v>4.4385580169946444</v>
      </c>
      <c r="AA64" s="116">
        <f>SUM(Z64:Z$109)</f>
        <v>89.835196309781281</v>
      </c>
      <c r="AB64" s="115">
        <f>SUM(AA64:AA$109)</f>
        <v>1043.1846717667761</v>
      </c>
    </row>
    <row r="65" spans="2:28">
      <c r="B65" s="123">
        <v>57</v>
      </c>
      <c r="C65" s="125">
        <v>9.1074999999999993E-3</v>
      </c>
      <c r="D65" s="124">
        <v>4.0149999999999995E-3</v>
      </c>
      <c r="F65" s="120">
        <v>57</v>
      </c>
      <c r="G65" s="119">
        <f t="shared" si="22"/>
        <v>87815.911443003308</v>
      </c>
      <c r="H65" s="119">
        <f t="shared" si="12"/>
        <v>799.78341346715251</v>
      </c>
      <c r="I65" s="121">
        <f t="shared" si="13"/>
        <v>9.1074999999999993E-3</v>
      </c>
      <c r="J65" s="117">
        <f t="shared" si="14"/>
        <v>0.99089249999999995</v>
      </c>
      <c r="K65" s="116">
        <f t="shared" si="15"/>
        <v>1092.4942263707308</v>
      </c>
      <c r="L65" s="116">
        <f>SUM(K65:K$109)</f>
        <v>12455.615890081624</v>
      </c>
      <c r="M65" s="116">
        <f>SUM(L65:L$109)</f>
        <v>134073.23650120961</v>
      </c>
      <c r="N65" s="116">
        <f t="shared" si="16"/>
        <v>9.2128621913624347</v>
      </c>
      <c r="O65" s="116">
        <f>SUM(N65:N$109)</f>
        <v>147.18885288929866</v>
      </c>
      <c r="P65" s="115">
        <f>SUM(O65:O$109)</f>
        <v>1504.2428650811894</v>
      </c>
      <c r="R65" s="120">
        <v>57</v>
      </c>
      <c r="S65" s="119">
        <f t="shared" si="23"/>
        <v>94910.586196861826</v>
      </c>
      <c r="T65" s="119">
        <f t="shared" si="17"/>
        <v>381.06600358040021</v>
      </c>
      <c r="U65" s="118">
        <f t="shared" si="18"/>
        <v>4.0149999999999995E-3</v>
      </c>
      <c r="V65" s="117">
        <f t="shared" si="19"/>
        <v>0.99598500000000001</v>
      </c>
      <c r="W65" s="116">
        <f t="shared" si="20"/>
        <v>1180.7571741578106</v>
      </c>
      <c r="X65" s="116">
        <f>SUM(W65:W$109)</f>
        <v>14385.488573972114</v>
      </c>
      <c r="Y65" s="116">
        <f>SUM(X65:X$109)</f>
        <v>163249.33812069765</v>
      </c>
      <c r="Z65" s="116">
        <f t="shared" si="21"/>
        <v>4.3895741242996378</v>
      </c>
      <c r="AA65" s="116">
        <f>SUM(Z65:Z$109)</f>
        <v>85.396638292786633</v>
      </c>
      <c r="AB65" s="115">
        <f>SUM(AA65:AA$109)</f>
        <v>953.34947545699504</v>
      </c>
    </row>
    <row r="66" spans="2:28">
      <c r="B66" s="123">
        <v>58</v>
      </c>
      <c r="C66" s="125">
        <v>9.6812499999999989E-3</v>
      </c>
      <c r="D66" s="124">
        <v>4.2987499999999996E-3</v>
      </c>
      <c r="F66" s="120">
        <v>58</v>
      </c>
      <c r="G66" s="119">
        <f t="shared" si="22"/>
        <v>87016.12802953615</v>
      </c>
      <c r="H66" s="119">
        <f t="shared" si="12"/>
        <v>842.42488948594678</v>
      </c>
      <c r="I66" s="121">
        <f t="shared" si="13"/>
        <v>9.6812499999999989E-3</v>
      </c>
      <c r="J66" s="117">
        <f t="shared" si="14"/>
        <v>0.99031875000000003</v>
      </c>
      <c r="K66" s="116">
        <f t="shared" si="15"/>
        <v>1002.3558659296846</v>
      </c>
      <c r="L66" s="116">
        <f>SUM(K66:K$109)</f>
        <v>11363.121663710892</v>
      </c>
      <c r="M66" s="116">
        <f>SUM(L66:L$109)</f>
        <v>121617.62061112798</v>
      </c>
      <c r="N66" s="116">
        <f t="shared" si="16"/>
        <v>8.9852386361405152</v>
      </c>
      <c r="O66" s="116">
        <f>SUM(N66:N$109)</f>
        <v>137.9759906979362</v>
      </c>
      <c r="P66" s="115">
        <f>SUM(O66:O$109)</f>
        <v>1357.0540121918907</v>
      </c>
      <c r="R66" s="120">
        <v>58</v>
      </c>
      <c r="S66" s="119">
        <f t="shared" si="23"/>
        <v>94529.520193281423</v>
      </c>
      <c r="T66" s="119">
        <f t="shared" si="17"/>
        <v>406.35877493086849</v>
      </c>
      <c r="U66" s="118">
        <f t="shared" si="18"/>
        <v>4.2987499999999996E-3</v>
      </c>
      <c r="V66" s="117">
        <f t="shared" si="19"/>
        <v>0.99570124999999998</v>
      </c>
      <c r="W66" s="116">
        <f t="shared" si="20"/>
        <v>1088.9041056514509</v>
      </c>
      <c r="X66" s="116">
        <f>SUM(W66:W$109)</f>
        <v>13204.731399814304</v>
      </c>
      <c r="Y66" s="116">
        <f>SUM(X66:X$109)</f>
        <v>148863.84954672548</v>
      </c>
      <c r="Z66" s="116">
        <f t="shared" si="21"/>
        <v>4.3341912260825675</v>
      </c>
      <c r="AA66" s="116">
        <f>SUM(Z66:Z$109)</f>
        <v>81.007064168486977</v>
      </c>
      <c r="AB66" s="115">
        <f>SUM(AA66:AA$109)</f>
        <v>867.95283716420829</v>
      </c>
    </row>
    <row r="67" spans="2:28">
      <c r="B67" s="123">
        <v>59</v>
      </c>
      <c r="C67" s="125">
        <v>1.0298750000000001E-2</v>
      </c>
      <c r="D67" s="124">
        <v>4.6037499999999993E-3</v>
      </c>
      <c r="F67" s="120">
        <v>59</v>
      </c>
      <c r="G67" s="119">
        <f t="shared" si="22"/>
        <v>86173.703140050202</v>
      </c>
      <c r="H67" s="119">
        <f t="shared" si="12"/>
        <v>887.48142521359205</v>
      </c>
      <c r="I67" s="121">
        <f t="shared" si="13"/>
        <v>1.0298750000000001E-2</v>
      </c>
      <c r="J67" s="117">
        <f t="shared" si="14"/>
        <v>0.98970124999999998</v>
      </c>
      <c r="K67" s="116">
        <f t="shared" si="15"/>
        <v>919.1220446320857</v>
      </c>
      <c r="L67" s="116">
        <f>SUM(K67:K$109)</f>
        <v>10360.765797781205</v>
      </c>
      <c r="M67" s="116">
        <f>SUM(L67:L$109)</f>
        <v>110254.4989474171</v>
      </c>
      <c r="N67" s="116">
        <f t="shared" si="16"/>
        <v>8.7646371825506435</v>
      </c>
      <c r="O67" s="116">
        <f>SUM(N67:N$109)</f>
        <v>128.99075206179569</v>
      </c>
      <c r="P67" s="115">
        <f>SUM(O67:O$109)</f>
        <v>1219.0780214939543</v>
      </c>
      <c r="R67" s="120">
        <v>59</v>
      </c>
      <c r="S67" s="119">
        <f t="shared" si="23"/>
        <v>94123.161418350559</v>
      </c>
      <c r="T67" s="119">
        <f t="shared" si="17"/>
        <v>433.31950437973131</v>
      </c>
      <c r="U67" s="118">
        <f t="shared" si="18"/>
        <v>4.6037499999999993E-3</v>
      </c>
      <c r="V67" s="117">
        <f t="shared" si="19"/>
        <v>0.99539624999999998</v>
      </c>
      <c r="W67" s="116">
        <f t="shared" si="20"/>
        <v>1003.9103510437791</v>
      </c>
      <c r="X67" s="116">
        <f>SUM(W67:W$109)</f>
        <v>12115.827294162853</v>
      </c>
      <c r="Y67" s="116">
        <f>SUM(X67:X$109)</f>
        <v>135659.11814691121</v>
      </c>
      <c r="Z67" s="116">
        <f t="shared" si="21"/>
        <v>4.279400257979443</v>
      </c>
      <c r="AA67" s="116">
        <f>SUM(Z67:Z$109)</f>
        <v>76.672872942404439</v>
      </c>
      <c r="AB67" s="115">
        <f>SUM(AA67:AA$109)</f>
        <v>786.94577299572131</v>
      </c>
    </row>
    <row r="68" spans="2:28">
      <c r="B68" s="123">
        <v>60</v>
      </c>
      <c r="C68" s="125">
        <v>1.0960000000000001E-2</v>
      </c>
      <c r="D68" s="124">
        <v>4.9375E-3</v>
      </c>
      <c r="F68" s="120">
        <v>60</v>
      </c>
      <c r="G68" s="119">
        <f t="shared" si="22"/>
        <v>85286.221714836603</v>
      </c>
      <c r="H68" s="119">
        <f t="shared" si="12"/>
        <v>934.7369899946093</v>
      </c>
      <c r="I68" s="121">
        <f t="shared" si="13"/>
        <v>1.0960000000000001E-2</v>
      </c>
      <c r="J68" s="117">
        <f t="shared" si="14"/>
        <v>0.98904000000000003</v>
      </c>
      <c r="K68" s="116">
        <f t="shared" si="15"/>
        <v>842.27429303234362</v>
      </c>
      <c r="L68" s="116">
        <f>SUM(K68:K$109)</f>
        <v>9441.643753149121</v>
      </c>
      <c r="M68" s="116">
        <f>SUM(L68:L$109)</f>
        <v>99893.733149635897</v>
      </c>
      <c r="N68" s="116">
        <f t="shared" si="16"/>
        <v>8.5475243070689668</v>
      </c>
      <c r="O68" s="116">
        <f>SUM(N68:N$109)</f>
        <v>120.22611487924506</v>
      </c>
      <c r="P68" s="115">
        <f>SUM(O68:O$109)</f>
        <v>1090.087269432159</v>
      </c>
      <c r="R68" s="120">
        <v>60</v>
      </c>
      <c r="S68" s="119">
        <f t="shared" si="23"/>
        <v>93689.841913970828</v>
      </c>
      <c r="T68" s="119">
        <f t="shared" si="17"/>
        <v>462.59359445023097</v>
      </c>
      <c r="U68" s="118">
        <f t="shared" si="18"/>
        <v>4.9375E-3</v>
      </c>
      <c r="V68" s="117">
        <f t="shared" si="19"/>
        <v>0.99506249999999996</v>
      </c>
      <c r="W68" s="116">
        <f t="shared" si="20"/>
        <v>925.26722107885325</v>
      </c>
      <c r="X68" s="116">
        <f>SUM(W68:W$109)</f>
        <v>11111.916943119075</v>
      </c>
      <c r="Y68" s="116">
        <f>SUM(X68:X$109)</f>
        <v>123543.29085274838</v>
      </c>
      <c r="Z68" s="116">
        <f t="shared" si="21"/>
        <v>4.2300989852563298</v>
      </c>
      <c r="AA68" s="116">
        <f>SUM(Z68:Z$109)</f>
        <v>72.393472684425006</v>
      </c>
      <c r="AB68" s="115">
        <f>SUM(AA68:AA$109)</f>
        <v>710.2729000533169</v>
      </c>
    </row>
    <row r="69" spans="2:28">
      <c r="B69" s="123">
        <v>61</v>
      </c>
      <c r="C69" s="125">
        <v>1.1653749999999999E-2</v>
      </c>
      <c r="D69" s="124">
        <v>5.2999999999999992E-3</v>
      </c>
      <c r="F69" s="120">
        <v>61</v>
      </c>
      <c r="G69" s="119">
        <f t="shared" si="22"/>
        <v>84351.484724841997</v>
      </c>
      <c r="H69" s="119">
        <f t="shared" si="12"/>
        <v>983.01111511212741</v>
      </c>
      <c r="I69" s="121">
        <f t="shared" si="13"/>
        <v>1.1653749999999999E-2</v>
      </c>
      <c r="J69" s="117">
        <f t="shared" si="14"/>
        <v>0.98834624999999998</v>
      </c>
      <c r="K69" s="116">
        <f t="shared" si="15"/>
        <v>771.33608035250813</v>
      </c>
      <c r="L69" s="116">
        <f>SUM(K69:K$109)</f>
        <v>8599.3694601167808</v>
      </c>
      <c r="M69" s="116">
        <f>SUM(L69:L$109)</f>
        <v>90452.089396486772</v>
      </c>
      <c r="N69" s="116">
        <f t="shared" si="16"/>
        <v>8.3231091170444849</v>
      </c>
      <c r="O69" s="116">
        <f>SUM(N69:N$109)</f>
        <v>111.67859057217608</v>
      </c>
      <c r="P69" s="115">
        <f>SUM(O69:O$109)</f>
        <v>969.86115455291417</v>
      </c>
      <c r="R69" s="120">
        <v>61</v>
      </c>
      <c r="S69" s="119">
        <f t="shared" si="23"/>
        <v>93227.2483195206</v>
      </c>
      <c r="T69" s="119">
        <f t="shared" si="17"/>
        <v>494.10441609345912</v>
      </c>
      <c r="U69" s="118">
        <f t="shared" si="18"/>
        <v>5.2999999999999992E-3</v>
      </c>
      <c r="V69" s="117">
        <f t="shared" si="19"/>
        <v>0.99470000000000003</v>
      </c>
      <c r="W69" s="116">
        <f t="shared" si="20"/>
        <v>852.49880942108894</v>
      </c>
      <c r="X69" s="116">
        <f>SUM(W69:W$109)</f>
        <v>10186.649722040222</v>
      </c>
      <c r="Y69" s="116">
        <f>SUM(X69:X$109)</f>
        <v>112431.3739096293</v>
      </c>
      <c r="Z69" s="116">
        <f t="shared" si="21"/>
        <v>4.183558972159048</v>
      </c>
      <c r="AA69" s="116">
        <f>SUM(Z69:Z$109)</f>
        <v>68.163373699168673</v>
      </c>
      <c r="AB69" s="115">
        <f>SUM(AA69:AA$109)</f>
        <v>637.87942736889192</v>
      </c>
    </row>
    <row r="70" spans="2:28">
      <c r="B70" s="123">
        <v>62</v>
      </c>
      <c r="C70" s="125">
        <v>1.2382499999999999E-2</v>
      </c>
      <c r="D70" s="124">
        <v>5.7025000000000001E-3</v>
      </c>
      <c r="F70" s="120">
        <v>62</v>
      </c>
      <c r="G70" s="119">
        <f t="shared" si="22"/>
        <v>83368.473609729874</v>
      </c>
      <c r="H70" s="119">
        <f t="shared" si="12"/>
        <v>1032.3101244724801</v>
      </c>
      <c r="I70" s="121">
        <f t="shared" si="13"/>
        <v>1.2382499999999999E-2</v>
      </c>
      <c r="J70" s="117">
        <f t="shared" si="14"/>
        <v>0.98761750000000004</v>
      </c>
      <c r="K70" s="116">
        <f t="shared" si="15"/>
        <v>705.87696528342622</v>
      </c>
      <c r="L70" s="116">
        <f>SUM(K70:K$109)</f>
        <v>7828.0333797642752</v>
      </c>
      <c r="M70" s="116">
        <f>SUM(L70:L$109)</f>
        <v>81852.719936369991</v>
      </c>
      <c r="N70" s="116">
        <f t="shared" si="16"/>
        <v>8.0930754839092796</v>
      </c>
      <c r="O70" s="116">
        <f>SUM(N70:N$109)</f>
        <v>103.3554814551316</v>
      </c>
      <c r="P70" s="115">
        <f>SUM(O70:O$109)</f>
        <v>858.18256398073811</v>
      </c>
      <c r="R70" s="120">
        <v>62</v>
      </c>
      <c r="S70" s="119">
        <f t="shared" si="23"/>
        <v>92733.143903427146</v>
      </c>
      <c r="T70" s="119">
        <f t="shared" si="17"/>
        <v>528.81075310929327</v>
      </c>
      <c r="U70" s="118">
        <f t="shared" si="18"/>
        <v>5.7025000000000001E-3</v>
      </c>
      <c r="V70" s="117">
        <f t="shared" si="19"/>
        <v>0.99429749999999995</v>
      </c>
      <c r="W70" s="116">
        <f t="shared" si="20"/>
        <v>785.16719049181233</v>
      </c>
      <c r="X70" s="116">
        <f>SUM(W70:W$109)</f>
        <v>9334.1509126191304</v>
      </c>
      <c r="Y70" s="116">
        <f>SUM(X70:X$109)</f>
        <v>102244.72418758908</v>
      </c>
      <c r="Z70" s="116">
        <f t="shared" si="21"/>
        <v>4.1457554664625542</v>
      </c>
      <c r="AA70" s="116">
        <f>SUM(Z70:Z$109)</f>
        <v>63.979814727009632</v>
      </c>
      <c r="AB70" s="115">
        <f>SUM(AA70:AA$109)</f>
        <v>569.71605366972312</v>
      </c>
    </row>
    <row r="71" spans="2:28">
      <c r="B71" s="123">
        <v>63</v>
      </c>
      <c r="C71" s="125">
        <v>1.3162499999999999E-2</v>
      </c>
      <c r="D71" s="124">
        <v>6.1612500000000001E-3</v>
      </c>
      <c r="F71" s="120">
        <v>63</v>
      </c>
      <c r="G71" s="119">
        <f t="shared" si="22"/>
        <v>82336.163485257392</v>
      </c>
      <c r="H71" s="119">
        <f t="shared" si="12"/>
        <v>1083.7497518747002</v>
      </c>
      <c r="I71" s="121">
        <f t="shared" si="13"/>
        <v>1.3162499999999999E-2</v>
      </c>
      <c r="J71" s="117">
        <f t="shared" si="14"/>
        <v>0.98683750000000003</v>
      </c>
      <c r="K71" s="116">
        <f t="shared" si="15"/>
        <v>645.49670718592961</v>
      </c>
      <c r="L71" s="116">
        <f>SUM(K71:K$109)</f>
        <v>7122.156414480849</v>
      </c>
      <c r="M71" s="116">
        <f>SUM(L71:L$109)</f>
        <v>74024.686556605724</v>
      </c>
      <c r="N71" s="116">
        <f t="shared" si="16"/>
        <v>7.8669911188285164</v>
      </c>
      <c r="O71" s="116">
        <f>SUM(N71:N$109)</f>
        <v>95.262405971222293</v>
      </c>
      <c r="P71" s="115">
        <f>SUM(O71:O$109)</f>
        <v>754.82708252560656</v>
      </c>
      <c r="R71" s="120">
        <v>63</v>
      </c>
      <c r="S71" s="119">
        <f t="shared" si="23"/>
        <v>92204.333150317849</v>
      </c>
      <c r="T71" s="119">
        <f t="shared" si="17"/>
        <v>568.09394762239583</v>
      </c>
      <c r="U71" s="118">
        <f t="shared" si="18"/>
        <v>6.1612500000000001E-3</v>
      </c>
      <c r="V71" s="117">
        <f t="shared" si="19"/>
        <v>0.99383874999999999</v>
      </c>
      <c r="W71" s="116">
        <f t="shared" si="20"/>
        <v>722.86090239632642</v>
      </c>
      <c r="X71" s="116">
        <f>SUM(W71:W$109)</f>
        <v>8548.9837221273174</v>
      </c>
      <c r="Y71" s="116">
        <f>SUM(X71:X$109)</f>
        <v>92910.573274969938</v>
      </c>
      <c r="Z71" s="116">
        <f t="shared" si="21"/>
        <v>4.1238210508234872</v>
      </c>
      <c r="AA71" s="116">
        <f>SUM(Z71:Z$109)</f>
        <v>59.834059260547086</v>
      </c>
      <c r="AB71" s="115">
        <f>SUM(AA71:AA$109)</f>
        <v>505.73623894271338</v>
      </c>
    </row>
    <row r="72" spans="2:28">
      <c r="B72" s="123">
        <v>64</v>
      </c>
      <c r="C72" s="125">
        <v>1.4007499999999997E-2</v>
      </c>
      <c r="D72" s="124">
        <v>6.6899999999999998E-3</v>
      </c>
      <c r="F72" s="120">
        <v>64</v>
      </c>
      <c r="G72" s="119">
        <f t="shared" si="22"/>
        <v>81252.413733382695</v>
      </c>
      <c r="H72" s="119">
        <f t="shared" ref="H72:H103" si="24">G72*I72</f>
        <v>1138.143185370358</v>
      </c>
      <c r="I72" s="121">
        <f t="shared" ref="I72:I103" si="25">C72*$D$2</f>
        <v>1.4007499999999997E-2</v>
      </c>
      <c r="J72" s="117">
        <f t="shared" ref="J72:J103" si="26">1-I72</f>
        <v>0.98599250000000005</v>
      </c>
      <c r="K72" s="116">
        <f t="shared" ref="K72:K103" si="27">v($C$2)^$F72*$G72</f>
        <v>589.81514516443974</v>
      </c>
      <c r="L72" s="116">
        <f>SUM(K72:K$109)</f>
        <v>6476.6597072949207</v>
      </c>
      <c r="M72" s="116">
        <f>SUM(L72:L$109)</f>
        <v>66902.530142124873</v>
      </c>
      <c r="N72" s="116">
        <f t="shared" ref="N72:N103" si="28">v($C$2)^($F72+1)*$H72</f>
        <v>7.6498478202693398</v>
      </c>
      <c r="O72" s="116">
        <f>SUM(N72:N$109)</f>
        <v>87.395414852393799</v>
      </c>
      <c r="P72" s="115">
        <f>SUM(O72:O$109)</f>
        <v>659.56467655438428</v>
      </c>
      <c r="R72" s="120">
        <v>64</v>
      </c>
      <c r="S72" s="119">
        <f t="shared" si="23"/>
        <v>91636.239202695448</v>
      </c>
      <c r="T72" s="119">
        <f t="shared" ref="T72:T103" si="29">S72*U72</f>
        <v>613.0464402660325</v>
      </c>
      <c r="U72" s="118">
        <f t="shared" ref="U72:U108" si="30">D72*$D$2</f>
        <v>6.6899999999999998E-3</v>
      </c>
      <c r="V72" s="117">
        <f t="shared" ref="V72:V103" si="31">1-U72</f>
        <v>0.99331000000000003</v>
      </c>
      <c r="W72" s="116">
        <f t="shared" ref="W72:W103" si="32">v($C$2)^$R72*$S72</f>
        <v>665.19182931614546</v>
      </c>
      <c r="X72" s="116">
        <f>SUM(W72:W$109)</f>
        <v>7826.1228197309911</v>
      </c>
      <c r="Y72" s="116">
        <f>SUM(X72:X$109)</f>
        <v>84361.589552842634</v>
      </c>
      <c r="Z72" s="116">
        <f t="shared" ref="Z72:Z103" si="33">v($C$2)^($R72+1)*T72</f>
        <v>4.1204938315972335</v>
      </c>
      <c r="AA72" s="116">
        <f>SUM(Z72:Z$109)</f>
        <v>55.710238209723592</v>
      </c>
      <c r="AB72" s="115">
        <f>SUM(AA72:AA$109)</f>
        <v>445.90217968216643</v>
      </c>
    </row>
    <row r="73" spans="2:28">
      <c r="B73" s="123">
        <v>65</v>
      </c>
      <c r="C73" s="125">
        <v>1.4916249999999999E-2</v>
      </c>
      <c r="D73" s="124">
        <v>7.2924999999999995E-3</v>
      </c>
      <c r="F73" s="120">
        <v>65</v>
      </c>
      <c r="G73" s="119">
        <f t="shared" ref="G73:G109" si="34">G72-H72</f>
        <v>80114.27054801234</v>
      </c>
      <c r="H73" s="119">
        <f t="shared" si="24"/>
        <v>1195.0044880617891</v>
      </c>
      <c r="I73" s="121">
        <f t="shared" si="25"/>
        <v>1.4916249999999999E-2</v>
      </c>
      <c r="J73" s="117">
        <f t="shared" si="26"/>
        <v>0.98508375000000004</v>
      </c>
      <c r="K73" s="116">
        <f t="shared" si="27"/>
        <v>538.47528659124885</v>
      </c>
      <c r="L73" s="116">
        <f>SUM(K73:K$109)</f>
        <v>5886.84456213048</v>
      </c>
      <c r="M73" s="116">
        <f>SUM(L73:L$109)</f>
        <v>60425.870434829943</v>
      </c>
      <c r="N73" s="116">
        <f t="shared" si="28"/>
        <v>7.4370666607562175</v>
      </c>
      <c r="O73" s="116">
        <f>SUM(N73:N$109)</f>
        <v>79.745567032124455</v>
      </c>
      <c r="P73" s="115">
        <f>SUM(O73:O$109)</f>
        <v>572.16926170199031</v>
      </c>
      <c r="R73" s="120">
        <v>65</v>
      </c>
      <c r="S73" s="119">
        <f t="shared" ref="S73:S109" si="35">S72-T72</f>
        <v>91023.192762429419</v>
      </c>
      <c r="T73" s="119">
        <f t="shared" si="29"/>
        <v>663.78663322001648</v>
      </c>
      <c r="U73" s="118">
        <f t="shared" si="30"/>
        <v>7.2924999999999995E-3</v>
      </c>
      <c r="V73" s="117">
        <f t="shared" si="31"/>
        <v>0.99270749999999996</v>
      </c>
      <c r="W73" s="116">
        <f t="shared" si="32"/>
        <v>611.79786664631513</v>
      </c>
      <c r="X73" s="116">
        <f>SUM(W73:W$109)</f>
        <v>7160.9309904148449</v>
      </c>
      <c r="Y73" s="116">
        <f>SUM(X73:X$109)</f>
        <v>76535.466733111622</v>
      </c>
      <c r="Z73" s="116">
        <f t="shared" si="33"/>
        <v>4.131051798628012</v>
      </c>
      <c r="AA73" s="116">
        <f>SUM(Z73:Z$109)</f>
        <v>51.589744378126362</v>
      </c>
      <c r="AB73" s="115">
        <f>SUM(AA73:AA$109)</f>
        <v>390.19194147244275</v>
      </c>
    </row>
    <row r="74" spans="2:28">
      <c r="B74" s="123">
        <v>66</v>
      </c>
      <c r="C74" s="125">
        <v>1.5858749999999998E-2</v>
      </c>
      <c r="D74" s="124">
        <v>7.9562499999999998E-3</v>
      </c>
      <c r="F74" s="120">
        <v>66</v>
      </c>
      <c r="G74" s="119">
        <f t="shared" si="34"/>
        <v>78919.266059950547</v>
      </c>
      <c r="H74" s="119">
        <f t="shared" si="24"/>
        <v>1251.5609106282407</v>
      </c>
      <c r="I74" s="121">
        <f t="shared" si="25"/>
        <v>1.5858749999999998E-2</v>
      </c>
      <c r="J74" s="117">
        <f t="shared" si="26"/>
        <v>0.98414124999999997</v>
      </c>
      <c r="K74" s="116">
        <f t="shared" si="27"/>
        <v>491.15116166447416</v>
      </c>
      <c r="L74" s="116">
        <f>SUM(K74:K$109)</f>
        <v>5348.3692755392321</v>
      </c>
      <c r="M74" s="116">
        <f>SUM(L74:L$109)</f>
        <v>54539.025872699458</v>
      </c>
      <c r="N74" s="116">
        <f t="shared" si="28"/>
        <v>7.2120773009689616</v>
      </c>
      <c r="O74" s="116">
        <f>SUM(N74:N$109)</f>
        <v>72.308500371368254</v>
      </c>
      <c r="P74" s="115">
        <f>SUM(O74:O$109)</f>
        <v>492.42369466986565</v>
      </c>
      <c r="R74" s="120">
        <v>66</v>
      </c>
      <c r="S74" s="119">
        <f t="shared" si="35"/>
        <v>90359.406129209397</v>
      </c>
      <c r="T74" s="119">
        <f t="shared" si="29"/>
        <v>718.92202501552219</v>
      </c>
      <c r="U74" s="118">
        <f t="shared" si="30"/>
        <v>7.9562499999999998E-3</v>
      </c>
      <c r="V74" s="117">
        <f t="shared" si="31"/>
        <v>0.99204375</v>
      </c>
      <c r="W74" s="116">
        <f t="shared" si="32"/>
        <v>562.34845435536749</v>
      </c>
      <c r="X74" s="116">
        <f>SUM(W74:W$109)</f>
        <v>6549.1331237685299</v>
      </c>
      <c r="Y74" s="116">
        <f>SUM(X74:X$109)</f>
        <v>69374.535742696797</v>
      </c>
      <c r="Z74" s="116">
        <f t="shared" si="33"/>
        <v>4.1427637870045295</v>
      </c>
      <c r="AA74" s="116">
        <f>SUM(Z74:Z$109)</f>
        <v>47.458692579498347</v>
      </c>
      <c r="AB74" s="115">
        <f>SUM(AA74:AA$109)</f>
        <v>338.60219709431647</v>
      </c>
    </row>
    <row r="75" spans="2:28">
      <c r="B75" s="123">
        <v>67</v>
      </c>
      <c r="C75" s="125">
        <v>1.6839999999999997E-2</v>
      </c>
      <c r="D75" s="124">
        <v>8.6962499999999991E-3</v>
      </c>
      <c r="F75" s="120">
        <v>67</v>
      </c>
      <c r="G75" s="119">
        <f t="shared" si="34"/>
        <v>77667.705149322312</v>
      </c>
      <c r="H75" s="119">
        <f t="shared" si="24"/>
        <v>1307.9241547145875</v>
      </c>
      <c r="I75" s="121">
        <f t="shared" si="25"/>
        <v>1.6839999999999997E-2</v>
      </c>
      <c r="J75" s="117">
        <f t="shared" si="26"/>
        <v>0.98316000000000003</v>
      </c>
      <c r="K75" s="116">
        <f t="shared" si="27"/>
        <v>447.5575168328034</v>
      </c>
      <c r="L75" s="116">
        <f>SUM(K75:K$109)</f>
        <v>4857.2181138747583</v>
      </c>
      <c r="M75" s="116">
        <f>SUM(L75:L$109)</f>
        <v>49190.656597160232</v>
      </c>
      <c r="N75" s="116">
        <f t="shared" si="28"/>
        <v>6.9785820217263028</v>
      </c>
      <c r="O75" s="116">
        <f>SUM(N75:N$109)</f>
        <v>65.096423070399283</v>
      </c>
      <c r="P75" s="115">
        <f>SUM(O75:O$109)</f>
        <v>420.11519429849744</v>
      </c>
      <c r="R75" s="120">
        <v>67</v>
      </c>
      <c r="S75" s="119">
        <f t="shared" si="35"/>
        <v>89640.484104193878</v>
      </c>
      <c r="T75" s="119">
        <f t="shared" si="29"/>
        <v>779.53605989109599</v>
      </c>
      <c r="U75" s="118">
        <f t="shared" si="30"/>
        <v>8.6962499999999991E-3</v>
      </c>
      <c r="V75" s="117">
        <f t="shared" si="31"/>
        <v>0.99130375000000004</v>
      </c>
      <c r="W75" s="116">
        <f t="shared" si="32"/>
        <v>516.5502495050024</v>
      </c>
      <c r="X75" s="116">
        <f>SUM(W75:W$109)</f>
        <v>5986.7846694131622</v>
      </c>
      <c r="Y75" s="116">
        <f>SUM(X75:X$109)</f>
        <v>62825.402618928259</v>
      </c>
      <c r="Z75" s="116">
        <f t="shared" si="33"/>
        <v>4.1593056548684038</v>
      </c>
      <c r="AA75" s="116">
        <f>SUM(Z75:Z$109)</f>
        <v>43.315928792493814</v>
      </c>
      <c r="AB75" s="115">
        <f>SUM(AA75:AA$109)</f>
        <v>291.14350451481812</v>
      </c>
    </row>
    <row r="76" spans="2:28">
      <c r="B76" s="123">
        <v>68</v>
      </c>
      <c r="C76" s="125">
        <v>1.788375E-2</v>
      </c>
      <c r="D76" s="124">
        <v>9.5387500000000004E-3</v>
      </c>
      <c r="F76" s="120">
        <v>68</v>
      </c>
      <c r="G76" s="119">
        <f t="shared" si="34"/>
        <v>76359.780994607718</v>
      </c>
      <c r="H76" s="119">
        <f t="shared" si="24"/>
        <v>1365.5992333623158</v>
      </c>
      <c r="I76" s="121">
        <f t="shared" si="25"/>
        <v>1.788375E-2</v>
      </c>
      <c r="J76" s="117">
        <f t="shared" si="26"/>
        <v>0.98211625000000002</v>
      </c>
      <c r="K76" s="116">
        <f t="shared" si="27"/>
        <v>407.42652615679526</v>
      </c>
      <c r="L76" s="116">
        <f>SUM(K76:K$109)</f>
        <v>4409.6605970419541</v>
      </c>
      <c r="M76" s="116">
        <f>SUM(L76:L$109)</f>
        <v>44333.438483285478</v>
      </c>
      <c r="N76" s="116">
        <f t="shared" si="28"/>
        <v>6.7465871640338761</v>
      </c>
      <c r="O76" s="116">
        <f>SUM(N76:N$109)</f>
        <v>58.117841048672979</v>
      </c>
      <c r="P76" s="115">
        <f>SUM(O76:O$109)</f>
        <v>355.01877122809816</v>
      </c>
      <c r="R76" s="120">
        <v>68</v>
      </c>
      <c r="S76" s="119">
        <f t="shared" si="35"/>
        <v>88860.948044302786</v>
      </c>
      <c r="T76" s="119">
        <f t="shared" si="29"/>
        <v>847.6223681575932</v>
      </c>
      <c r="U76" s="118">
        <f t="shared" si="30"/>
        <v>9.5387500000000004E-3</v>
      </c>
      <c r="V76" s="117">
        <f t="shared" si="31"/>
        <v>0.99046124999999996</v>
      </c>
      <c r="W76" s="116">
        <f t="shared" si="32"/>
        <v>474.12796240531895</v>
      </c>
      <c r="X76" s="116">
        <f>SUM(W76:W$109)</f>
        <v>5470.2344199081599</v>
      </c>
      <c r="Y76" s="116">
        <f>SUM(X76:X$109)</f>
        <v>56838.617949515101</v>
      </c>
      <c r="Z76" s="116">
        <f t="shared" si="33"/>
        <v>4.18758157536457</v>
      </c>
      <c r="AA76" s="116">
        <f>SUM(Z76:Z$109)</f>
        <v>39.156623137625409</v>
      </c>
      <c r="AB76" s="115">
        <f>SUM(AA76:AA$109)</f>
        <v>247.82757572232433</v>
      </c>
    </row>
    <row r="77" spans="2:28">
      <c r="B77" s="123">
        <v>69</v>
      </c>
      <c r="C77" s="125">
        <v>1.90175E-2</v>
      </c>
      <c r="D77" s="124">
        <v>1.0517499999999999E-2</v>
      </c>
      <c r="F77" s="120">
        <v>69</v>
      </c>
      <c r="G77" s="119">
        <f t="shared" si="34"/>
        <v>74994.181761245403</v>
      </c>
      <c r="H77" s="119">
        <f t="shared" si="24"/>
        <v>1426.2018516444843</v>
      </c>
      <c r="I77" s="121">
        <f t="shared" si="25"/>
        <v>1.90175E-2</v>
      </c>
      <c r="J77" s="117">
        <f t="shared" si="26"/>
        <v>0.98098249999999998</v>
      </c>
      <c r="K77" s="116">
        <f t="shared" si="27"/>
        <v>370.50019631448021</v>
      </c>
      <c r="L77" s="116">
        <f>SUM(K77:K$109)</f>
        <v>4002.2340708851593</v>
      </c>
      <c r="M77" s="116">
        <f>SUM(L77:L$109)</f>
        <v>39923.777886243515</v>
      </c>
      <c r="N77" s="116">
        <f t="shared" si="28"/>
        <v>6.5240624846394688</v>
      </c>
      <c r="O77" s="116">
        <f>SUM(N77:N$109)</f>
        <v>51.37125388463911</v>
      </c>
      <c r="P77" s="115">
        <f>SUM(O77:O$109)</f>
        <v>296.90093017942525</v>
      </c>
      <c r="R77" s="120">
        <v>69</v>
      </c>
      <c r="S77" s="119">
        <f t="shared" si="35"/>
        <v>88013.325676145192</v>
      </c>
      <c r="T77" s="119">
        <f t="shared" si="29"/>
        <v>925.68015279885697</v>
      </c>
      <c r="U77" s="118">
        <f t="shared" si="30"/>
        <v>1.0517499999999999E-2</v>
      </c>
      <c r="V77" s="117">
        <f t="shared" si="31"/>
        <v>0.98948250000000004</v>
      </c>
      <c r="W77" s="116">
        <f t="shared" si="32"/>
        <v>434.81979102215291</v>
      </c>
      <c r="X77" s="116">
        <f>SUM(W77:W$109)</f>
        <v>4996.1064575028413</v>
      </c>
      <c r="Y77" s="116">
        <f>SUM(X77:X$109)</f>
        <v>51368.383529606945</v>
      </c>
      <c r="Z77" s="116">
        <f t="shared" si="33"/>
        <v>4.2344603259958262</v>
      </c>
      <c r="AA77" s="116">
        <f>SUM(Z77:Z$109)</f>
        <v>34.969041562260841</v>
      </c>
      <c r="AB77" s="115">
        <f>SUM(AA77:AA$109)</f>
        <v>208.67095258469894</v>
      </c>
    </row>
    <row r="78" spans="2:28">
      <c r="B78" s="123">
        <v>70</v>
      </c>
      <c r="C78" s="125">
        <v>2.0256249999999996E-2</v>
      </c>
      <c r="D78" s="124">
        <v>1.1649999999999999E-2</v>
      </c>
      <c r="F78" s="120">
        <v>70</v>
      </c>
      <c r="G78" s="119">
        <f t="shared" si="34"/>
        <v>73567.979909600923</v>
      </c>
      <c r="H78" s="119">
        <f t="shared" si="24"/>
        <v>1490.2113930438534</v>
      </c>
      <c r="I78" s="121">
        <f t="shared" si="25"/>
        <v>2.0256249999999996E-2</v>
      </c>
      <c r="J78" s="117">
        <f t="shared" si="26"/>
        <v>0.97974375000000002</v>
      </c>
      <c r="K78" s="116">
        <f t="shared" si="27"/>
        <v>336.53167484358295</v>
      </c>
      <c r="L78" s="116">
        <f>SUM(K78:K$109)</f>
        <v>3631.7338745706788</v>
      </c>
      <c r="M78" s="116">
        <f>SUM(L78:L$109)</f>
        <v>35921.54381535836</v>
      </c>
      <c r="N78" s="116">
        <f t="shared" si="28"/>
        <v>6.3119164245836341</v>
      </c>
      <c r="O78" s="116">
        <f>SUM(N78:N$109)</f>
        <v>44.847191399999637</v>
      </c>
      <c r="P78" s="115">
        <f>SUM(O78:O$109)</f>
        <v>245.5296762947861</v>
      </c>
      <c r="R78" s="120">
        <v>70</v>
      </c>
      <c r="S78" s="119">
        <f t="shared" si="35"/>
        <v>87087.645523346335</v>
      </c>
      <c r="T78" s="119">
        <f t="shared" si="29"/>
        <v>1014.5710703469847</v>
      </c>
      <c r="U78" s="118">
        <f t="shared" si="30"/>
        <v>1.1649999999999999E-2</v>
      </c>
      <c r="V78" s="117">
        <f t="shared" si="31"/>
        <v>0.98834999999999995</v>
      </c>
      <c r="W78" s="116">
        <f t="shared" si="32"/>
        <v>398.37645728710868</v>
      </c>
      <c r="X78" s="116">
        <f>SUM(W78:W$109)</f>
        <v>4561.2866664806897</v>
      </c>
      <c r="Y78" s="116">
        <f>SUM(X78:X$109)</f>
        <v>46372.277072104102</v>
      </c>
      <c r="Z78" s="116">
        <f t="shared" si="33"/>
        <v>4.2973015994396428</v>
      </c>
      <c r="AA78" s="116">
        <f>SUM(Z78:Z$109)</f>
        <v>30.734581236265008</v>
      </c>
      <c r="AB78" s="115">
        <f>SUM(AA78:AA$109)</f>
        <v>173.70191102243808</v>
      </c>
    </row>
    <row r="79" spans="2:28">
      <c r="B79" s="123">
        <v>71</v>
      </c>
      <c r="C79" s="125">
        <v>1.5858749999999998E-2</v>
      </c>
      <c r="D79" s="124">
        <v>7.9562499999999998E-3</v>
      </c>
      <c r="F79" s="120">
        <v>71</v>
      </c>
      <c r="G79" s="119">
        <f t="shared" si="34"/>
        <v>72077.768516557073</v>
      </c>
      <c r="H79" s="119">
        <f t="shared" si="24"/>
        <v>1143.0633114619493</v>
      </c>
      <c r="I79" s="121">
        <f t="shared" si="25"/>
        <v>1.5858749999999998E-2</v>
      </c>
      <c r="J79" s="117">
        <f t="shared" si="26"/>
        <v>0.98414124999999997</v>
      </c>
      <c r="K79" s="116">
        <f t="shared" si="27"/>
        <v>305.29148620836349</v>
      </c>
      <c r="L79" s="116">
        <f>SUM(K79:K$109)</f>
        <v>3295.2021997270963</v>
      </c>
      <c r="M79" s="116">
        <f>SUM(L79:L$109)</f>
        <v>32289.809940787691</v>
      </c>
      <c r="N79" s="116">
        <f t="shared" si="28"/>
        <v>4.4829086638026707</v>
      </c>
      <c r="O79" s="116">
        <f>SUM(N79:N$109)</f>
        <v>38.535274975416002</v>
      </c>
      <c r="P79" s="115">
        <f>SUM(O79:O$109)</f>
        <v>200.68248489478646</v>
      </c>
      <c r="R79" s="120">
        <v>71</v>
      </c>
      <c r="S79" s="119">
        <f t="shared" si="35"/>
        <v>86073.074452999354</v>
      </c>
      <c r="T79" s="119">
        <f t="shared" si="29"/>
        <v>684.81889861667605</v>
      </c>
      <c r="U79" s="118">
        <f t="shared" si="30"/>
        <v>7.9562499999999998E-3</v>
      </c>
      <c r="V79" s="117">
        <f t="shared" si="31"/>
        <v>0.99204375</v>
      </c>
      <c r="W79" s="116">
        <f t="shared" si="32"/>
        <v>364.56978848121651</v>
      </c>
      <c r="X79" s="116">
        <f>SUM(W79:W$109)</f>
        <v>4162.9102091935811</v>
      </c>
      <c r="Y79" s="116">
        <f>SUM(X79:X$109)</f>
        <v>41810.990405623423</v>
      </c>
      <c r="Z79" s="116">
        <f t="shared" si="33"/>
        <v>2.6857484996330356</v>
      </c>
      <c r="AA79" s="116">
        <f>SUM(Z79:Z$109)</f>
        <v>26.437279636825366</v>
      </c>
      <c r="AB79" s="115">
        <f>SUM(AA79:AA$109)</f>
        <v>142.96732978617308</v>
      </c>
    </row>
    <row r="80" spans="2:28">
      <c r="B80" s="123">
        <v>72</v>
      </c>
      <c r="C80" s="125">
        <v>1.6839999999999997E-2</v>
      </c>
      <c r="D80" s="124">
        <v>8.6962499999999991E-3</v>
      </c>
      <c r="F80" s="120">
        <v>72</v>
      </c>
      <c r="G80" s="119">
        <f t="shared" si="34"/>
        <v>70934.705205095117</v>
      </c>
      <c r="H80" s="119">
        <f t="shared" si="24"/>
        <v>1194.5404356538015</v>
      </c>
      <c r="I80" s="121">
        <f t="shared" si="25"/>
        <v>1.6839999999999997E-2</v>
      </c>
      <c r="J80" s="117">
        <f t="shared" si="26"/>
        <v>0.98316000000000003</v>
      </c>
      <c r="K80" s="116">
        <f t="shared" si="27"/>
        <v>278.19439338097834</v>
      </c>
      <c r="L80" s="116">
        <f>SUM(K80:K$109)</f>
        <v>2989.9107135187319</v>
      </c>
      <c r="M80" s="116">
        <f>SUM(L80:L$109)</f>
        <v>28994.607741060598</v>
      </c>
      <c r="N80" s="116">
        <f t="shared" si="28"/>
        <v>4.3377718375330314</v>
      </c>
      <c r="O80" s="116">
        <f>SUM(N80:N$109)</f>
        <v>34.052366311613333</v>
      </c>
      <c r="P80" s="115">
        <f>SUM(O80:O$109)</f>
        <v>162.14720991937048</v>
      </c>
      <c r="R80" s="120">
        <v>72</v>
      </c>
      <c r="S80" s="119">
        <f t="shared" si="35"/>
        <v>85388.255554382675</v>
      </c>
      <c r="T80" s="119">
        <f t="shared" si="29"/>
        <v>742.55761736480031</v>
      </c>
      <c r="U80" s="118">
        <f t="shared" si="30"/>
        <v>8.6962499999999991E-3</v>
      </c>
      <c r="V80" s="117">
        <f t="shared" si="31"/>
        <v>0.99130375000000004</v>
      </c>
      <c r="W80" s="116">
        <f t="shared" si="32"/>
        <v>334.87887046445627</v>
      </c>
      <c r="X80" s="116">
        <f>SUM(W80:W$109)</f>
        <v>3798.3404207123649</v>
      </c>
      <c r="Y80" s="116">
        <f>SUM(X80:X$109)</f>
        <v>37648.080196429837</v>
      </c>
      <c r="Z80" s="116">
        <f t="shared" si="33"/>
        <v>2.6964725715523405</v>
      </c>
      <c r="AA80" s="116">
        <f>SUM(Z80:Z$109)</f>
        <v>23.75153113719233</v>
      </c>
      <c r="AB80" s="115">
        <f>SUM(AA80:AA$109)</f>
        <v>116.5300501493477</v>
      </c>
    </row>
    <row r="81" spans="2:28">
      <c r="B81" s="123">
        <v>73</v>
      </c>
      <c r="C81" s="125">
        <v>1.788375E-2</v>
      </c>
      <c r="D81" s="124">
        <v>9.5387500000000004E-3</v>
      </c>
      <c r="F81" s="120">
        <v>73</v>
      </c>
      <c r="G81" s="119">
        <f t="shared" si="34"/>
        <v>69740.164769441311</v>
      </c>
      <c r="H81" s="119">
        <f t="shared" si="24"/>
        <v>1247.215671695496</v>
      </c>
      <c r="I81" s="121">
        <f t="shared" si="25"/>
        <v>1.788375E-2</v>
      </c>
      <c r="J81" s="117">
        <f t="shared" si="26"/>
        <v>0.98211625000000002</v>
      </c>
      <c r="K81" s="116">
        <f t="shared" si="27"/>
        <v>253.24962944115057</v>
      </c>
      <c r="L81" s="116">
        <f>SUM(K81:K$109)</f>
        <v>2711.7163201377539</v>
      </c>
      <c r="M81" s="116">
        <f>SUM(L81:L$109)</f>
        <v>26004.697027541861</v>
      </c>
      <c r="N81" s="116">
        <f t="shared" si="28"/>
        <v>4.1935676486279405</v>
      </c>
      <c r="O81" s="116">
        <f>SUM(N81:N$109)</f>
        <v>29.7145944740803</v>
      </c>
      <c r="P81" s="115">
        <f>SUM(O81:O$109)</f>
        <v>128.09484360775718</v>
      </c>
      <c r="R81" s="120">
        <v>73</v>
      </c>
      <c r="S81" s="119">
        <f t="shared" si="35"/>
        <v>84645.697937017874</v>
      </c>
      <c r="T81" s="119">
        <f t="shared" si="29"/>
        <v>807.41415119672922</v>
      </c>
      <c r="U81" s="118">
        <f t="shared" si="30"/>
        <v>9.5387500000000004E-3</v>
      </c>
      <c r="V81" s="117">
        <f t="shared" si="31"/>
        <v>0.99046124999999996</v>
      </c>
      <c r="W81" s="116">
        <f t="shared" si="32"/>
        <v>307.37655563627754</v>
      </c>
      <c r="X81" s="116">
        <f>SUM(W81:W$109)</f>
        <v>3463.4615502479082</v>
      </c>
      <c r="Y81" s="116">
        <f>SUM(X81:X$109)</f>
        <v>33849.739775717469</v>
      </c>
      <c r="Z81" s="116">
        <f t="shared" si="33"/>
        <v>2.7148038148847613</v>
      </c>
      <c r="AA81" s="116">
        <f>SUM(Z81:Z$109)</f>
        <v>21.055058565639989</v>
      </c>
      <c r="AB81" s="115">
        <f>SUM(AA81:AA$109)</f>
        <v>92.778519012155371</v>
      </c>
    </row>
    <row r="82" spans="2:28">
      <c r="B82" s="123">
        <v>74</v>
      </c>
      <c r="C82" s="125">
        <v>1.90175E-2</v>
      </c>
      <c r="D82" s="124">
        <v>1.0517499999999999E-2</v>
      </c>
      <c r="F82" s="120">
        <v>74</v>
      </c>
      <c r="G82" s="119">
        <f t="shared" si="34"/>
        <v>68492.949097745819</v>
      </c>
      <c r="H82" s="119">
        <f t="shared" si="24"/>
        <v>1302.564659466381</v>
      </c>
      <c r="I82" s="121">
        <f t="shared" si="25"/>
        <v>1.90175E-2</v>
      </c>
      <c r="J82" s="117">
        <f t="shared" si="26"/>
        <v>0.98098249999999998</v>
      </c>
      <c r="K82" s="116">
        <f t="shared" si="27"/>
        <v>230.29682998206704</v>
      </c>
      <c r="L82" s="116">
        <f>SUM(K82:K$109)</f>
        <v>2458.4666906966036</v>
      </c>
      <c r="M82" s="116">
        <f>SUM(L82:L$109)</f>
        <v>23292.980707404113</v>
      </c>
      <c r="N82" s="116">
        <f t="shared" si="28"/>
        <v>4.0552499668369997</v>
      </c>
      <c r="O82" s="116">
        <f>SUM(N82:N$109)</f>
        <v>25.52102682545236</v>
      </c>
      <c r="P82" s="115">
        <f>SUM(O82:O$109)</f>
        <v>98.380249133676884</v>
      </c>
      <c r="R82" s="120">
        <v>74</v>
      </c>
      <c r="S82" s="119">
        <f t="shared" si="35"/>
        <v>83838.283785821142</v>
      </c>
      <c r="T82" s="119">
        <f t="shared" si="29"/>
        <v>881.76914971737381</v>
      </c>
      <c r="U82" s="118">
        <f t="shared" si="30"/>
        <v>1.0517499999999999E-2</v>
      </c>
      <c r="V82" s="117">
        <f t="shared" si="31"/>
        <v>0.98948250000000004</v>
      </c>
      <c r="W82" s="116">
        <f t="shared" si="32"/>
        <v>281.89311807055736</v>
      </c>
      <c r="X82" s="116">
        <f>SUM(W82:W$109)</f>
        <v>3156.0849946116309</v>
      </c>
      <c r="Y82" s="116">
        <f>SUM(X82:X$109)</f>
        <v>30386.278225469552</v>
      </c>
      <c r="Z82" s="116">
        <f t="shared" si="33"/>
        <v>2.7451952493584137</v>
      </c>
      <c r="AA82" s="116">
        <f>SUM(Z82:Z$109)</f>
        <v>18.340254750755228</v>
      </c>
      <c r="AB82" s="115">
        <f>SUM(AA82:AA$109)</f>
        <v>71.723460446515375</v>
      </c>
    </row>
    <row r="83" spans="2:28">
      <c r="B83" s="123">
        <v>75</v>
      </c>
      <c r="C83" s="125">
        <v>2.0256249999999996E-2</v>
      </c>
      <c r="D83" s="124">
        <v>1.1649999999999999E-2</v>
      </c>
      <c r="F83" s="120">
        <v>75</v>
      </c>
      <c r="G83" s="119">
        <f t="shared" si="34"/>
        <v>67190.384438279434</v>
      </c>
      <c r="H83" s="119">
        <f t="shared" si="24"/>
        <v>1361.0252247778976</v>
      </c>
      <c r="I83" s="121">
        <f t="shared" si="25"/>
        <v>2.0256249999999996E-2</v>
      </c>
      <c r="J83" s="117">
        <f t="shared" si="26"/>
        <v>0.97974375000000002</v>
      </c>
      <c r="K83" s="116">
        <f t="shared" si="27"/>
        <v>209.18255557211393</v>
      </c>
      <c r="L83" s="116">
        <f>SUM(K83:K$109)</f>
        <v>2228.1698607145368</v>
      </c>
      <c r="M83" s="116">
        <f>SUM(L83:L$109)</f>
        <v>20834.514016707504</v>
      </c>
      <c r="N83" s="116">
        <f t="shared" si="28"/>
        <v>3.9233834641737335</v>
      </c>
      <c r="O83" s="116">
        <f>SUM(N83:N$109)</f>
        <v>21.46577685861536</v>
      </c>
      <c r="P83" s="115">
        <f>SUM(O83:O$109)</f>
        <v>72.859222308224517</v>
      </c>
      <c r="R83" s="120">
        <v>75</v>
      </c>
      <c r="S83" s="119">
        <f t="shared" si="35"/>
        <v>82956.514636103762</v>
      </c>
      <c r="T83" s="119">
        <f t="shared" si="29"/>
        <v>966.44339551060875</v>
      </c>
      <c r="U83" s="118">
        <f t="shared" si="30"/>
        <v>1.1649999999999999E-2</v>
      </c>
      <c r="V83" s="117">
        <f t="shared" si="31"/>
        <v>0.98834999999999995</v>
      </c>
      <c r="W83" s="116">
        <f t="shared" si="32"/>
        <v>258.26695111226877</v>
      </c>
      <c r="X83" s="116">
        <f>SUM(W83:W$109)</f>
        <v>2874.1918765410733</v>
      </c>
      <c r="Y83" s="116">
        <f>SUM(X83:X$109)</f>
        <v>27230.193230857923</v>
      </c>
      <c r="Z83" s="116">
        <f t="shared" si="33"/>
        <v>2.7859351670906767</v>
      </c>
      <c r="AA83" s="116">
        <f>SUM(Z83:Z$109)</f>
        <v>15.595059501396813</v>
      </c>
      <c r="AB83" s="115">
        <f>SUM(AA83:AA$109)</f>
        <v>53.383205695760147</v>
      </c>
    </row>
    <row r="84" spans="2:28">
      <c r="B84" s="123">
        <v>76</v>
      </c>
      <c r="C84" s="125">
        <v>2.145625E-2</v>
      </c>
      <c r="D84" s="124">
        <v>1.234E-2</v>
      </c>
      <c r="F84" s="120">
        <v>76</v>
      </c>
      <c r="G84" s="119">
        <f t="shared" si="34"/>
        <v>65829.359213501535</v>
      </c>
      <c r="H84" s="119">
        <f t="shared" si="24"/>
        <v>1412.4511886246923</v>
      </c>
      <c r="I84" s="121">
        <f t="shared" si="25"/>
        <v>2.145625E-2</v>
      </c>
      <c r="J84" s="117">
        <f t="shared" si="26"/>
        <v>0.97854375000000005</v>
      </c>
      <c r="K84" s="116">
        <f t="shared" si="27"/>
        <v>189.76416799148731</v>
      </c>
      <c r="L84" s="116">
        <f>SUM(K84:K$109)</f>
        <v>2018.9873051424224</v>
      </c>
      <c r="M84" s="116">
        <f>SUM(L84:L$109)</f>
        <v>18606.344155992963</v>
      </c>
      <c r="N84" s="116">
        <f t="shared" si="28"/>
        <v>3.7700253976549525</v>
      </c>
      <c r="O84" s="116">
        <f>SUM(N84:N$109)</f>
        <v>17.542393394441628</v>
      </c>
      <c r="P84" s="115">
        <f>SUM(O84:O$109)</f>
        <v>51.39344544960916</v>
      </c>
      <c r="R84" s="120">
        <v>76</v>
      </c>
      <c r="S84" s="119">
        <f t="shared" si="35"/>
        <v>81990.071240593155</v>
      </c>
      <c r="T84" s="119">
        <f t="shared" si="29"/>
        <v>1011.7574791089196</v>
      </c>
      <c r="U84" s="118">
        <f t="shared" si="30"/>
        <v>1.234E-2</v>
      </c>
      <c r="V84" s="117">
        <f t="shared" si="31"/>
        <v>0.98765999999999998</v>
      </c>
      <c r="W84" s="116">
        <f t="shared" si="32"/>
        <v>236.35013067760261</v>
      </c>
      <c r="X84" s="116">
        <f>SUM(W84:W$109)</f>
        <v>2615.9249254288043</v>
      </c>
      <c r="Y84" s="116">
        <f>SUM(X84:X$109)</f>
        <v>24356.00135431685</v>
      </c>
      <c r="Z84" s="116">
        <f t="shared" si="33"/>
        <v>2.7005190857051997</v>
      </c>
      <c r="AA84" s="116">
        <f>SUM(Z84:Z$109)</f>
        <v>12.809124334306135</v>
      </c>
      <c r="AB84" s="115">
        <f>SUM(AA84:AA$109)</f>
        <v>37.788146194363335</v>
      </c>
    </row>
    <row r="85" spans="2:28">
      <c r="B85" s="123">
        <v>77</v>
      </c>
      <c r="C85" s="125">
        <v>2.2768749999999997E-2</v>
      </c>
      <c r="D85" s="124">
        <v>1.3095000000000001E-2</v>
      </c>
      <c r="F85" s="120">
        <v>77</v>
      </c>
      <c r="G85" s="119">
        <f t="shared" si="34"/>
        <v>64416.908024876844</v>
      </c>
      <c r="H85" s="119">
        <f t="shared" si="24"/>
        <v>1466.6924745914146</v>
      </c>
      <c r="I85" s="121">
        <f t="shared" si="25"/>
        <v>2.2768749999999997E-2</v>
      </c>
      <c r="J85" s="117">
        <f t="shared" si="26"/>
        <v>0.97723125</v>
      </c>
      <c r="K85" s="116">
        <f t="shared" si="27"/>
        <v>171.93753755742586</v>
      </c>
      <c r="L85" s="116">
        <f>SUM(K85:K$109)</f>
        <v>1829.2231371509351</v>
      </c>
      <c r="M85" s="116">
        <f>SUM(L85:L$109)</f>
        <v>16587.356850850541</v>
      </c>
      <c r="N85" s="116">
        <f t="shared" si="28"/>
        <v>3.6248174150561474</v>
      </c>
      <c r="O85" s="116">
        <f>SUM(N85:N$109)</f>
        <v>13.772367996786674</v>
      </c>
      <c r="P85" s="115">
        <f>SUM(O85:O$109)</f>
        <v>33.851052055167528</v>
      </c>
      <c r="R85" s="120">
        <v>77</v>
      </c>
      <c r="S85" s="119">
        <f t="shared" si="35"/>
        <v>80978.313761484242</v>
      </c>
      <c r="T85" s="119">
        <f t="shared" si="29"/>
        <v>1060.4110187066362</v>
      </c>
      <c r="U85" s="118">
        <f t="shared" si="30"/>
        <v>1.3095000000000001E-2</v>
      </c>
      <c r="V85" s="117">
        <f t="shared" si="31"/>
        <v>0.98690500000000003</v>
      </c>
      <c r="W85" s="116">
        <f t="shared" si="32"/>
        <v>216.14219450466754</v>
      </c>
      <c r="X85" s="116">
        <f>SUM(W85:W$109)</f>
        <v>2379.5747947512018</v>
      </c>
      <c r="Y85" s="116">
        <f>SUM(X85:X$109)</f>
        <v>21740.076428888045</v>
      </c>
      <c r="Z85" s="116">
        <f t="shared" si="33"/>
        <v>2.6207241083690942</v>
      </c>
      <c r="AA85" s="116">
        <f>SUM(Z85:Z$109)</f>
        <v>10.108605248600936</v>
      </c>
      <c r="AB85" s="115">
        <f>SUM(AA85:AA$109)</f>
        <v>24.979021860057198</v>
      </c>
    </row>
    <row r="86" spans="2:28">
      <c r="B86" s="123">
        <v>78</v>
      </c>
      <c r="C86" s="125">
        <v>2.4247499999999998E-2</v>
      </c>
      <c r="D86" s="124">
        <v>1.3945000000000001E-2</v>
      </c>
      <c r="F86" s="120">
        <v>78</v>
      </c>
      <c r="G86" s="119">
        <f t="shared" si="34"/>
        <v>62950.215550285429</v>
      </c>
      <c r="H86" s="119">
        <f t="shared" si="24"/>
        <v>1526.3853515555459</v>
      </c>
      <c r="I86" s="121">
        <f t="shared" si="25"/>
        <v>2.4247499999999998E-2</v>
      </c>
      <c r="J86" s="117">
        <f t="shared" si="26"/>
        <v>0.97575250000000002</v>
      </c>
      <c r="K86" s="116">
        <f t="shared" si="27"/>
        <v>155.57660624922704</v>
      </c>
      <c r="L86" s="116">
        <f>SUM(K86:K$109)</f>
        <v>1657.2855995935092</v>
      </c>
      <c r="M86" s="116">
        <f>SUM(L86:L$109)</f>
        <v>14758.133713699604</v>
      </c>
      <c r="N86" s="116">
        <f t="shared" si="28"/>
        <v>3.492910888914937</v>
      </c>
      <c r="O86" s="116">
        <f>SUM(N86:N$109)</f>
        <v>10.147550581730528</v>
      </c>
      <c r="P86" s="115">
        <f>SUM(O86:O$109)</f>
        <v>20.078684058380851</v>
      </c>
      <c r="R86" s="120">
        <v>78</v>
      </c>
      <c r="S86" s="119">
        <f t="shared" si="35"/>
        <v>79917.902742777602</v>
      </c>
      <c r="T86" s="119">
        <f t="shared" si="29"/>
        <v>1114.4551537480338</v>
      </c>
      <c r="U86" s="118">
        <f t="shared" si="30"/>
        <v>1.3945000000000001E-2</v>
      </c>
      <c r="V86" s="117">
        <f t="shared" si="31"/>
        <v>0.98605500000000001</v>
      </c>
      <c r="W86" s="116">
        <f t="shared" si="32"/>
        <v>197.51093747002676</v>
      </c>
      <c r="X86" s="116">
        <f>SUM(W86:W$109)</f>
        <v>2163.4326002465336</v>
      </c>
      <c r="Y86" s="116">
        <f>SUM(X86:X$109)</f>
        <v>19360.501634136843</v>
      </c>
      <c r="Z86" s="116">
        <f t="shared" si="33"/>
        <v>2.5502685398328921</v>
      </c>
      <c r="AA86" s="116">
        <f>SUM(Z86:Z$109)</f>
        <v>7.4878811402318419</v>
      </c>
      <c r="AB86" s="115">
        <f>SUM(AA86:AA$109)</f>
        <v>14.87041661145626</v>
      </c>
    </row>
    <row r="87" spans="2:28">
      <c r="B87" s="123">
        <v>79</v>
      </c>
      <c r="C87" s="125">
        <v>2.595625E-2</v>
      </c>
      <c r="D87" s="124">
        <v>1.4928749999999998E-2</v>
      </c>
      <c r="F87" s="120">
        <v>79</v>
      </c>
      <c r="G87" s="119">
        <f t="shared" si="34"/>
        <v>61423.830198729884</v>
      </c>
      <c r="H87" s="119">
        <f t="shared" si="24"/>
        <v>1594.3322925957825</v>
      </c>
      <c r="I87" s="121">
        <f t="shared" si="25"/>
        <v>2.595625E-2</v>
      </c>
      <c r="J87" s="117">
        <f t="shared" si="26"/>
        <v>0.97404374999999999</v>
      </c>
      <c r="K87" s="116">
        <f t="shared" si="27"/>
        <v>140.55950230481378</v>
      </c>
      <c r="L87" s="116">
        <f>SUM(K87:K$109)</f>
        <v>1501.7089933442821</v>
      </c>
      <c r="M87" s="116">
        <f>SUM(L87:L$109)</f>
        <v>13100.848114106095</v>
      </c>
      <c r="N87" s="116">
        <f t="shared" si="28"/>
        <v>3.3781459089808545</v>
      </c>
      <c r="O87" s="116">
        <f>SUM(N87:N$109)</f>
        <v>6.6546396928155893</v>
      </c>
      <c r="P87" s="115">
        <f>SUM(O87:O$109)</f>
        <v>9.9311334766503236</v>
      </c>
      <c r="R87" s="120">
        <v>79</v>
      </c>
      <c r="S87" s="119">
        <f t="shared" si="35"/>
        <v>78803.447589029573</v>
      </c>
      <c r="T87" s="119">
        <f t="shared" si="29"/>
        <v>1176.4369681947251</v>
      </c>
      <c r="U87" s="118">
        <f t="shared" si="30"/>
        <v>1.4928749999999998E-2</v>
      </c>
      <c r="V87" s="117">
        <f t="shared" si="31"/>
        <v>0.98507124999999995</v>
      </c>
      <c r="W87" s="116">
        <f t="shared" si="32"/>
        <v>180.33022911759929</v>
      </c>
      <c r="X87" s="116">
        <f>SUM(W87:W$109)</f>
        <v>1965.9216627765074</v>
      </c>
      <c r="Y87" s="116">
        <f>SUM(X87:X$109)</f>
        <v>17197.069033890308</v>
      </c>
      <c r="Z87" s="116">
        <f t="shared" si="33"/>
        <v>2.4926897295734816</v>
      </c>
      <c r="AA87" s="116">
        <f>SUM(Z87:Z$109)</f>
        <v>4.9376126003989507</v>
      </c>
      <c r="AB87" s="115">
        <f>SUM(AA87:AA$109)</f>
        <v>7.3825354712244202</v>
      </c>
    </row>
    <row r="88" spans="2:28">
      <c r="B88" s="123">
        <v>80</v>
      </c>
      <c r="C88" s="125">
        <v>2.7913749999999998E-2</v>
      </c>
      <c r="D88" s="124">
        <v>1.6053749999999999E-2</v>
      </c>
      <c r="F88" s="120">
        <v>80</v>
      </c>
      <c r="G88" s="119">
        <f t="shared" si="34"/>
        <v>59829.4979061341</v>
      </c>
      <c r="H88" s="119">
        <f t="shared" si="24"/>
        <v>1670.0656471773507</v>
      </c>
      <c r="I88" s="121">
        <f t="shared" si="25"/>
        <v>2.7913749999999998E-2</v>
      </c>
      <c r="J88" s="117">
        <f t="shared" si="26"/>
        <v>0.97208625000000004</v>
      </c>
      <c r="K88" s="116">
        <f t="shared" si="27"/>
        <v>126.76954141029117</v>
      </c>
      <c r="L88" s="116">
        <f>SUM(K88:K$109)</f>
        <v>1361.1494910394686</v>
      </c>
      <c r="M88" s="116">
        <f>SUM(L88:L$109)</f>
        <v>11599.139120761813</v>
      </c>
      <c r="N88" s="116">
        <f t="shared" si="28"/>
        <v>3.2764937838347352</v>
      </c>
      <c r="O88" s="116">
        <f>SUM(N88:N$109)</f>
        <v>3.2764937838347352</v>
      </c>
      <c r="P88" s="115">
        <f>SUM(O88:O$109)</f>
        <v>3.2764937838347352</v>
      </c>
      <c r="R88" s="120">
        <v>80</v>
      </c>
      <c r="S88" s="119">
        <f t="shared" si="35"/>
        <v>77627.010620834844</v>
      </c>
      <c r="T88" s="119">
        <f t="shared" si="29"/>
        <v>1246.2046217542272</v>
      </c>
      <c r="U88" s="118">
        <f t="shared" si="30"/>
        <v>1.6053749999999999E-2</v>
      </c>
      <c r="V88" s="117">
        <f t="shared" si="31"/>
        <v>0.98394625000000002</v>
      </c>
      <c r="W88" s="116">
        <f t="shared" si="32"/>
        <v>164.479744638574</v>
      </c>
      <c r="X88" s="116">
        <f>SUM(W88:W$109)</f>
        <v>1785.5914336589083</v>
      </c>
      <c r="Y88" s="116">
        <f>SUM(X88:X$109)</f>
        <v>15231.147371113802</v>
      </c>
      <c r="Z88" s="116">
        <f t="shared" si="33"/>
        <v>2.4449228708254691</v>
      </c>
      <c r="AA88" s="116">
        <f>SUM(Z88:Z$109)</f>
        <v>2.4449228708254691</v>
      </c>
      <c r="AB88" s="115">
        <f>SUM(AA88:AA$109)</f>
        <v>2.4449228708254691</v>
      </c>
    </row>
    <row r="89" spans="2:28">
      <c r="B89" s="123">
        <v>81</v>
      </c>
      <c r="C89" s="122"/>
      <c r="D89" s="118"/>
      <c r="F89" s="120">
        <v>81</v>
      </c>
      <c r="G89" s="119">
        <f t="shared" si="34"/>
        <v>58159.432258956753</v>
      </c>
      <c r="H89" s="119">
        <f t="shared" si="24"/>
        <v>0</v>
      </c>
      <c r="I89" s="121">
        <f t="shared" si="25"/>
        <v>0</v>
      </c>
      <c r="J89" s="117">
        <f t="shared" si="26"/>
        <v>1</v>
      </c>
      <c r="K89" s="116">
        <f t="shared" si="27"/>
        <v>114.10271122569411</v>
      </c>
      <c r="L89" s="116">
        <f>SUM(K89:K$109)</f>
        <v>1234.3799496291772</v>
      </c>
      <c r="M89" s="116">
        <f>SUM(L89:L$109)</f>
        <v>10237.98962972234</v>
      </c>
      <c r="N89" s="116">
        <f t="shared" si="28"/>
        <v>0</v>
      </c>
      <c r="O89" s="116">
        <f>SUM(N89:N$109)</f>
        <v>0</v>
      </c>
      <c r="P89" s="115">
        <f>SUM(O89:O$109)</f>
        <v>0</v>
      </c>
      <c r="R89" s="120">
        <v>81</v>
      </c>
      <c r="S89" s="119">
        <f t="shared" si="35"/>
        <v>76380.805999080621</v>
      </c>
      <c r="T89" s="119">
        <f t="shared" si="29"/>
        <v>0</v>
      </c>
      <c r="U89" s="118">
        <f t="shared" si="30"/>
        <v>0</v>
      </c>
      <c r="V89" s="117">
        <f t="shared" si="31"/>
        <v>1</v>
      </c>
      <c r="W89" s="116">
        <f t="shared" si="32"/>
        <v>149.85113697970598</v>
      </c>
      <c r="X89" s="116">
        <f>SUM(W89:W$109)</f>
        <v>1621.1116890203341</v>
      </c>
      <c r="Y89" s="116">
        <f>SUM(X89:X$109)</f>
        <v>13445.555937454892</v>
      </c>
      <c r="Z89" s="116">
        <f t="shared" si="33"/>
        <v>0</v>
      </c>
      <c r="AA89" s="116">
        <f>SUM(Z89:Z$109)</f>
        <v>0</v>
      </c>
      <c r="AB89" s="115">
        <f>SUM(AA89:AA$109)</f>
        <v>0</v>
      </c>
    </row>
    <row r="90" spans="2:28">
      <c r="B90" s="123">
        <v>82</v>
      </c>
      <c r="C90" s="122"/>
      <c r="D90" s="118"/>
      <c r="F90" s="120">
        <v>82</v>
      </c>
      <c r="G90" s="119">
        <f t="shared" si="34"/>
        <v>58159.432258956753</v>
      </c>
      <c r="H90" s="119">
        <f t="shared" si="24"/>
        <v>0</v>
      </c>
      <c r="I90" s="121">
        <f t="shared" si="25"/>
        <v>0</v>
      </c>
      <c r="J90" s="117">
        <f t="shared" si="26"/>
        <v>1</v>
      </c>
      <c r="K90" s="116">
        <f t="shared" si="27"/>
        <v>105.65065854230934</v>
      </c>
      <c r="L90" s="116">
        <f>SUM(K90:K$109)</f>
        <v>1120.2772384034831</v>
      </c>
      <c r="M90" s="116">
        <f>SUM(L90:L$109)</f>
        <v>9003.6096800931664</v>
      </c>
      <c r="N90" s="116">
        <f t="shared" si="28"/>
        <v>0</v>
      </c>
      <c r="O90" s="116">
        <f>SUM(N90:N$109)</f>
        <v>0</v>
      </c>
      <c r="P90" s="115">
        <f>SUM(O90:O$109)</f>
        <v>0</v>
      </c>
      <c r="R90" s="120">
        <v>82</v>
      </c>
      <c r="S90" s="119">
        <f t="shared" si="35"/>
        <v>76380.805999080621</v>
      </c>
      <c r="T90" s="119">
        <f t="shared" si="29"/>
        <v>0</v>
      </c>
      <c r="U90" s="118">
        <f t="shared" si="30"/>
        <v>0</v>
      </c>
      <c r="V90" s="117">
        <f t="shared" si="31"/>
        <v>1</v>
      </c>
      <c r="W90" s="116">
        <f t="shared" si="32"/>
        <v>138.75105275898702</v>
      </c>
      <c r="X90" s="116">
        <f>SUM(W90:W$109)</f>
        <v>1471.2605520406282</v>
      </c>
      <c r="Y90" s="116">
        <f>SUM(X90:X$109)</f>
        <v>11824.444248434558</v>
      </c>
      <c r="Z90" s="116">
        <f t="shared" si="33"/>
        <v>0</v>
      </c>
      <c r="AA90" s="116">
        <f>SUM(Z90:Z$109)</f>
        <v>0</v>
      </c>
      <c r="AB90" s="115">
        <f>SUM(AA90:AA$109)</f>
        <v>0</v>
      </c>
    </row>
    <row r="91" spans="2:28">
      <c r="B91" s="123">
        <v>83</v>
      </c>
      <c r="C91" s="122"/>
      <c r="D91" s="118"/>
      <c r="F91" s="120">
        <v>83</v>
      </c>
      <c r="G91" s="119">
        <f t="shared" si="34"/>
        <v>58159.432258956753</v>
      </c>
      <c r="H91" s="119">
        <f t="shared" si="24"/>
        <v>0</v>
      </c>
      <c r="I91" s="121">
        <f t="shared" si="25"/>
        <v>0</v>
      </c>
      <c r="J91" s="117">
        <f t="shared" si="26"/>
        <v>1</v>
      </c>
      <c r="K91" s="116">
        <f t="shared" si="27"/>
        <v>97.824683835471617</v>
      </c>
      <c r="L91" s="116">
        <f>SUM(K91:K$109)</f>
        <v>1014.6265798611736</v>
      </c>
      <c r="M91" s="116">
        <f>SUM(L91:L$109)</f>
        <v>7883.3324416896849</v>
      </c>
      <c r="N91" s="116">
        <f t="shared" si="28"/>
        <v>0</v>
      </c>
      <c r="O91" s="116">
        <f>SUM(N91:N$109)</f>
        <v>0</v>
      </c>
      <c r="P91" s="115">
        <f>SUM(O91:O$109)</f>
        <v>0</v>
      </c>
      <c r="R91" s="120">
        <v>83</v>
      </c>
      <c r="S91" s="119">
        <f t="shared" si="35"/>
        <v>76380.805999080621</v>
      </c>
      <c r="T91" s="119">
        <f t="shared" si="29"/>
        <v>0</v>
      </c>
      <c r="U91" s="118">
        <f t="shared" si="30"/>
        <v>0</v>
      </c>
      <c r="V91" s="117">
        <f t="shared" si="31"/>
        <v>1</v>
      </c>
      <c r="W91" s="116">
        <f t="shared" si="32"/>
        <v>128.47319699906205</v>
      </c>
      <c r="X91" s="116">
        <f>SUM(W91:W$109)</f>
        <v>1332.5094992816412</v>
      </c>
      <c r="Y91" s="116">
        <f>SUM(X91:X$109)</f>
        <v>10353.183696393931</v>
      </c>
      <c r="Z91" s="116">
        <f t="shared" si="33"/>
        <v>0</v>
      </c>
      <c r="AA91" s="116">
        <f>SUM(Z91:Z$109)</f>
        <v>0</v>
      </c>
      <c r="AB91" s="115">
        <f>SUM(AA91:AA$109)</f>
        <v>0</v>
      </c>
    </row>
    <row r="92" spans="2:28">
      <c r="B92" s="123">
        <v>84</v>
      </c>
      <c r="C92" s="122"/>
      <c r="D92" s="118"/>
      <c r="F92" s="120">
        <v>84</v>
      </c>
      <c r="G92" s="119">
        <f t="shared" si="34"/>
        <v>58159.432258956753</v>
      </c>
      <c r="H92" s="119">
        <f t="shared" si="24"/>
        <v>0</v>
      </c>
      <c r="I92" s="121">
        <f t="shared" si="25"/>
        <v>0</v>
      </c>
      <c r="J92" s="117">
        <f t="shared" si="26"/>
        <v>1</v>
      </c>
      <c r="K92" s="116">
        <f t="shared" si="27"/>
        <v>90.578410958770021</v>
      </c>
      <c r="L92" s="116">
        <f>SUM(K92:K$109)</f>
        <v>916.80189602570204</v>
      </c>
      <c r="M92" s="116">
        <f>SUM(L92:L$109)</f>
        <v>6868.7058618285109</v>
      </c>
      <c r="N92" s="116">
        <f t="shared" si="28"/>
        <v>0</v>
      </c>
      <c r="O92" s="116">
        <f>SUM(N92:N$109)</f>
        <v>0</v>
      </c>
      <c r="P92" s="115">
        <f>SUM(O92:O$109)</f>
        <v>0</v>
      </c>
      <c r="R92" s="120">
        <v>84</v>
      </c>
      <c r="S92" s="119">
        <f t="shared" si="35"/>
        <v>76380.805999080621</v>
      </c>
      <c r="T92" s="119">
        <f t="shared" si="29"/>
        <v>0</v>
      </c>
      <c r="U92" s="118">
        <f t="shared" si="30"/>
        <v>0</v>
      </c>
      <c r="V92" s="117">
        <f t="shared" si="31"/>
        <v>1</v>
      </c>
      <c r="W92" s="116">
        <f t="shared" si="32"/>
        <v>118.95666388802043</v>
      </c>
      <c r="X92" s="116">
        <f>SUM(W92:W$109)</f>
        <v>1204.0363022825788</v>
      </c>
      <c r="Y92" s="116">
        <f>SUM(X92:X$109)</f>
        <v>9020.6741971122901</v>
      </c>
      <c r="Z92" s="116">
        <f t="shared" si="33"/>
        <v>0</v>
      </c>
      <c r="AA92" s="116">
        <f>SUM(Z92:Z$109)</f>
        <v>0</v>
      </c>
      <c r="AB92" s="115">
        <f>SUM(AA92:AA$109)</f>
        <v>0</v>
      </c>
    </row>
    <row r="93" spans="2:28">
      <c r="B93" s="123">
        <v>85</v>
      </c>
      <c r="C93" s="122"/>
      <c r="D93" s="118"/>
      <c r="F93" s="120">
        <v>85</v>
      </c>
      <c r="G93" s="119">
        <f t="shared" si="34"/>
        <v>58159.432258956753</v>
      </c>
      <c r="H93" s="119">
        <f t="shared" si="24"/>
        <v>0</v>
      </c>
      <c r="I93" s="121">
        <f t="shared" si="25"/>
        <v>0</v>
      </c>
      <c r="J93" s="117">
        <f t="shared" si="26"/>
        <v>1</v>
      </c>
      <c r="K93" s="116">
        <f t="shared" si="27"/>
        <v>83.868899035898153</v>
      </c>
      <c r="L93" s="116">
        <f>SUM(K93:K$109)</f>
        <v>826.22348506693197</v>
      </c>
      <c r="M93" s="116">
        <f>SUM(L93:L$109)</f>
        <v>5951.9039658028096</v>
      </c>
      <c r="N93" s="116">
        <f t="shared" si="28"/>
        <v>0</v>
      </c>
      <c r="O93" s="116">
        <f>SUM(N93:N$109)</f>
        <v>0</v>
      </c>
      <c r="P93" s="115">
        <f>SUM(O93:O$109)</f>
        <v>0</v>
      </c>
      <c r="R93" s="120">
        <v>85</v>
      </c>
      <c r="S93" s="119">
        <f t="shared" si="35"/>
        <v>76380.805999080621</v>
      </c>
      <c r="T93" s="119">
        <f t="shared" si="29"/>
        <v>0</v>
      </c>
      <c r="U93" s="118">
        <f t="shared" si="30"/>
        <v>0</v>
      </c>
      <c r="V93" s="117">
        <f t="shared" si="31"/>
        <v>1</v>
      </c>
      <c r="W93" s="116">
        <f t="shared" si="32"/>
        <v>110.14505915557444</v>
      </c>
      <c r="X93" s="116">
        <f>SUM(W93:W$109)</f>
        <v>1085.0796383945585</v>
      </c>
      <c r="Y93" s="116">
        <f>SUM(X93:X$109)</f>
        <v>7816.6378948297124</v>
      </c>
      <c r="Z93" s="116">
        <f t="shared" si="33"/>
        <v>0</v>
      </c>
      <c r="AA93" s="116">
        <f>SUM(Z93:Z$109)</f>
        <v>0</v>
      </c>
      <c r="AB93" s="115">
        <f>SUM(AA93:AA$109)</f>
        <v>0</v>
      </c>
    </row>
    <row r="94" spans="2:28">
      <c r="B94" s="123">
        <v>86</v>
      </c>
      <c r="C94" s="122"/>
      <c r="D94" s="118"/>
      <c r="F94" s="120">
        <v>86</v>
      </c>
      <c r="G94" s="119">
        <f t="shared" si="34"/>
        <v>58159.432258956753</v>
      </c>
      <c r="H94" s="119">
        <f t="shared" si="24"/>
        <v>0</v>
      </c>
      <c r="I94" s="121">
        <f t="shared" si="25"/>
        <v>0</v>
      </c>
      <c r="J94" s="117">
        <f t="shared" si="26"/>
        <v>1</v>
      </c>
      <c r="K94" s="116">
        <f t="shared" si="27"/>
        <v>77.656387996201985</v>
      </c>
      <c r="L94" s="116">
        <f>SUM(K94:K$109)</f>
        <v>742.3545860310337</v>
      </c>
      <c r="M94" s="116">
        <f>SUM(L94:L$109)</f>
        <v>5125.6804807358785</v>
      </c>
      <c r="N94" s="116">
        <f t="shared" si="28"/>
        <v>0</v>
      </c>
      <c r="O94" s="116">
        <f>SUM(N94:N$109)</f>
        <v>0</v>
      </c>
      <c r="P94" s="115">
        <f>SUM(O94:O$109)</f>
        <v>0</v>
      </c>
      <c r="R94" s="120">
        <v>86</v>
      </c>
      <c r="S94" s="119">
        <f t="shared" si="35"/>
        <v>76380.805999080621</v>
      </c>
      <c r="T94" s="119">
        <f t="shared" si="29"/>
        <v>0</v>
      </c>
      <c r="U94" s="118">
        <f t="shared" si="30"/>
        <v>0</v>
      </c>
      <c r="V94" s="117">
        <f t="shared" si="31"/>
        <v>1</v>
      </c>
      <c r="W94" s="116">
        <f t="shared" si="32"/>
        <v>101.98616588479113</v>
      </c>
      <c r="X94" s="116">
        <f>SUM(W94:W$109)</f>
        <v>974.93457923898416</v>
      </c>
      <c r="Y94" s="116">
        <f>SUM(X94:X$109)</f>
        <v>6731.5582564351535</v>
      </c>
      <c r="Z94" s="116">
        <f t="shared" si="33"/>
        <v>0</v>
      </c>
      <c r="AA94" s="116">
        <f>SUM(Z94:Z$109)</f>
        <v>0</v>
      </c>
      <c r="AB94" s="115">
        <f>SUM(AA94:AA$109)</f>
        <v>0</v>
      </c>
    </row>
    <row r="95" spans="2:28">
      <c r="B95" s="123">
        <v>87</v>
      </c>
      <c r="C95" s="122"/>
      <c r="D95" s="118"/>
      <c r="F95" s="120">
        <v>87</v>
      </c>
      <c r="G95" s="119">
        <f t="shared" si="34"/>
        <v>58159.432258956753</v>
      </c>
      <c r="H95" s="119">
        <f t="shared" si="24"/>
        <v>0</v>
      </c>
      <c r="I95" s="121">
        <f t="shared" si="25"/>
        <v>0</v>
      </c>
      <c r="J95" s="117">
        <f t="shared" si="26"/>
        <v>1</v>
      </c>
      <c r="K95" s="116">
        <f t="shared" si="27"/>
        <v>71.904062959446264</v>
      </c>
      <c r="L95" s="116">
        <f>SUM(K95:K$109)</f>
        <v>664.69819803483188</v>
      </c>
      <c r="M95" s="116">
        <f>SUM(L95:L$109)</f>
        <v>4383.3258947048444</v>
      </c>
      <c r="N95" s="116">
        <f t="shared" si="28"/>
        <v>0</v>
      </c>
      <c r="O95" s="116">
        <f>SUM(N95:N$109)</f>
        <v>0</v>
      </c>
      <c r="P95" s="115">
        <f>SUM(O95:O$109)</f>
        <v>0</v>
      </c>
      <c r="R95" s="120">
        <v>87</v>
      </c>
      <c r="S95" s="119">
        <f t="shared" si="35"/>
        <v>76380.805999080621</v>
      </c>
      <c r="T95" s="119">
        <f t="shared" si="29"/>
        <v>0</v>
      </c>
      <c r="U95" s="118">
        <f t="shared" si="30"/>
        <v>0</v>
      </c>
      <c r="V95" s="117">
        <f t="shared" si="31"/>
        <v>1</v>
      </c>
      <c r="W95" s="116">
        <f t="shared" si="32"/>
        <v>94.431635078510311</v>
      </c>
      <c r="X95" s="116">
        <f>SUM(W95:W$109)</f>
        <v>872.94841335419301</v>
      </c>
      <c r="Y95" s="116">
        <f>SUM(X95:X$109)</f>
        <v>5756.6236771961694</v>
      </c>
      <c r="Z95" s="116">
        <f t="shared" si="33"/>
        <v>0</v>
      </c>
      <c r="AA95" s="116">
        <f>SUM(Z95:Z$109)</f>
        <v>0</v>
      </c>
      <c r="AB95" s="115">
        <f>SUM(AA95:AA$109)</f>
        <v>0</v>
      </c>
    </row>
    <row r="96" spans="2:28">
      <c r="B96" s="123">
        <v>88</v>
      </c>
      <c r="C96" s="122"/>
      <c r="D96" s="118"/>
      <c r="F96" s="120">
        <v>88</v>
      </c>
      <c r="G96" s="119">
        <f t="shared" si="34"/>
        <v>58159.432258956753</v>
      </c>
      <c r="H96" s="119">
        <f t="shared" si="24"/>
        <v>0</v>
      </c>
      <c r="I96" s="121">
        <f t="shared" si="25"/>
        <v>0</v>
      </c>
      <c r="J96" s="117">
        <f t="shared" si="26"/>
        <v>1</v>
      </c>
      <c r="K96" s="116">
        <f t="shared" si="27"/>
        <v>66.577836073561357</v>
      </c>
      <c r="L96" s="116">
        <f>SUM(K96:K$109)</f>
        <v>592.79413507538561</v>
      </c>
      <c r="M96" s="116">
        <f>SUM(L96:L$109)</f>
        <v>3718.6276966700125</v>
      </c>
      <c r="N96" s="116">
        <f t="shared" si="28"/>
        <v>0</v>
      </c>
      <c r="O96" s="116">
        <f>SUM(N96:N$109)</f>
        <v>0</v>
      </c>
      <c r="P96" s="115">
        <f>SUM(O96:O$109)</f>
        <v>0</v>
      </c>
      <c r="R96" s="120">
        <v>88</v>
      </c>
      <c r="S96" s="119">
        <f t="shared" si="35"/>
        <v>76380.805999080621</v>
      </c>
      <c r="T96" s="119">
        <f t="shared" si="29"/>
        <v>0</v>
      </c>
      <c r="U96" s="118">
        <f t="shared" si="30"/>
        <v>0</v>
      </c>
      <c r="V96" s="117">
        <f t="shared" si="31"/>
        <v>1</v>
      </c>
      <c r="W96" s="116">
        <f t="shared" si="32"/>
        <v>87.436699146768802</v>
      </c>
      <c r="X96" s="116">
        <f>SUM(W96:W$109)</f>
        <v>778.51677827568267</v>
      </c>
      <c r="Y96" s="116">
        <f>SUM(X96:X$109)</f>
        <v>4883.6752638419766</v>
      </c>
      <c r="Z96" s="116">
        <f t="shared" si="33"/>
        <v>0</v>
      </c>
      <c r="AA96" s="116">
        <f>SUM(Z96:Z$109)</f>
        <v>0</v>
      </c>
      <c r="AB96" s="115">
        <f>SUM(AA96:AA$109)</f>
        <v>0</v>
      </c>
    </row>
    <row r="97" spans="2:28">
      <c r="B97" s="123">
        <v>89</v>
      </c>
      <c r="C97" s="122"/>
      <c r="D97" s="118"/>
      <c r="F97" s="120">
        <v>89</v>
      </c>
      <c r="G97" s="119">
        <f t="shared" si="34"/>
        <v>58159.432258956753</v>
      </c>
      <c r="H97" s="119">
        <f t="shared" si="24"/>
        <v>0</v>
      </c>
      <c r="I97" s="121">
        <f t="shared" si="25"/>
        <v>0</v>
      </c>
      <c r="J97" s="117">
        <f t="shared" si="26"/>
        <v>1</v>
      </c>
      <c r="K97" s="116">
        <f t="shared" si="27"/>
        <v>61.646144512556809</v>
      </c>
      <c r="L97" s="116">
        <f>SUM(K97:K$109)</f>
        <v>526.21629900182438</v>
      </c>
      <c r="M97" s="116">
        <f>SUM(L97:L$109)</f>
        <v>3125.8335615946266</v>
      </c>
      <c r="N97" s="116">
        <f t="shared" si="28"/>
        <v>0</v>
      </c>
      <c r="O97" s="116">
        <f>SUM(N97:N$109)</f>
        <v>0</v>
      </c>
      <c r="P97" s="115">
        <f>SUM(O97:O$109)</f>
        <v>0</v>
      </c>
      <c r="R97" s="120">
        <v>89</v>
      </c>
      <c r="S97" s="119">
        <f t="shared" si="35"/>
        <v>76380.805999080621</v>
      </c>
      <c r="T97" s="119">
        <f t="shared" si="29"/>
        <v>0</v>
      </c>
      <c r="U97" s="118">
        <f t="shared" si="30"/>
        <v>0</v>
      </c>
      <c r="V97" s="117">
        <f t="shared" si="31"/>
        <v>1</v>
      </c>
      <c r="W97" s="116">
        <f t="shared" si="32"/>
        <v>80.959906617378508</v>
      </c>
      <c r="X97" s="116">
        <f>SUM(W97:W$109)</f>
        <v>691.08007912891378</v>
      </c>
      <c r="Y97" s="116">
        <f>SUM(X97:X$109)</f>
        <v>4105.1584855662941</v>
      </c>
      <c r="Z97" s="116">
        <f t="shared" si="33"/>
        <v>0</v>
      </c>
      <c r="AA97" s="116">
        <f>SUM(Z97:Z$109)</f>
        <v>0</v>
      </c>
      <c r="AB97" s="115">
        <f>SUM(AA97:AA$109)</f>
        <v>0</v>
      </c>
    </row>
    <row r="98" spans="2:28">
      <c r="B98" s="123">
        <v>90</v>
      </c>
      <c r="C98" s="122"/>
      <c r="D98" s="118"/>
      <c r="F98" s="120">
        <v>90</v>
      </c>
      <c r="G98" s="119">
        <f t="shared" si="34"/>
        <v>58159.432258956753</v>
      </c>
      <c r="H98" s="119">
        <f t="shared" si="24"/>
        <v>0</v>
      </c>
      <c r="I98" s="121">
        <f t="shared" si="25"/>
        <v>0</v>
      </c>
      <c r="J98" s="117">
        <f t="shared" si="26"/>
        <v>1</v>
      </c>
      <c r="K98" s="116">
        <f t="shared" si="27"/>
        <v>57.0797634375526</v>
      </c>
      <c r="L98" s="116">
        <f>SUM(K98:K$109)</f>
        <v>464.57015448926751</v>
      </c>
      <c r="M98" s="116">
        <f>SUM(L98:L$109)</f>
        <v>2599.617262592802</v>
      </c>
      <c r="N98" s="116">
        <f t="shared" si="28"/>
        <v>0</v>
      </c>
      <c r="O98" s="116">
        <f>SUM(N98:N$109)</f>
        <v>0</v>
      </c>
      <c r="P98" s="115">
        <f>SUM(O98:O$109)</f>
        <v>0</v>
      </c>
      <c r="R98" s="120">
        <v>90</v>
      </c>
      <c r="S98" s="119">
        <f t="shared" si="35"/>
        <v>76380.805999080621</v>
      </c>
      <c r="T98" s="119">
        <f t="shared" si="29"/>
        <v>0</v>
      </c>
      <c r="U98" s="118">
        <f t="shared" si="30"/>
        <v>0</v>
      </c>
      <c r="V98" s="117">
        <f t="shared" si="31"/>
        <v>1</v>
      </c>
      <c r="W98" s="116">
        <f t="shared" si="32"/>
        <v>74.962876497572694</v>
      </c>
      <c r="X98" s="116">
        <f>SUM(W98:W$109)</f>
        <v>610.12017251153532</v>
      </c>
      <c r="Y98" s="116">
        <f>SUM(X98:X$109)</f>
        <v>3414.0784064373797</v>
      </c>
      <c r="Z98" s="116">
        <f t="shared" si="33"/>
        <v>0</v>
      </c>
      <c r="AA98" s="116">
        <f>SUM(Z98:Z$109)</f>
        <v>0</v>
      </c>
      <c r="AB98" s="115">
        <f>SUM(AA98:AA$109)</f>
        <v>0</v>
      </c>
    </row>
    <row r="99" spans="2:28">
      <c r="B99" s="123">
        <v>91</v>
      </c>
      <c r="C99" s="122"/>
      <c r="D99" s="118"/>
      <c r="F99" s="120">
        <v>91</v>
      </c>
      <c r="G99" s="119">
        <f t="shared" si="34"/>
        <v>58159.432258956753</v>
      </c>
      <c r="H99" s="119">
        <f t="shared" si="24"/>
        <v>0</v>
      </c>
      <c r="I99" s="121">
        <f t="shared" si="25"/>
        <v>0</v>
      </c>
      <c r="J99" s="117">
        <f t="shared" si="26"/>
        <v>1</v>
      </c>
      <c r="K99" s="116">
        <f t="shared" si="27"/>
        <v>52.851632812548694</v>
      </c>
      <c r="L99" s="116">
        <f>SUM(K99:K$109)</f>
        <v>407.49039105171488</v>
      </c>
      <c r="M99" s="116">
        <f>SUM(L99:L$109)</f>
        <v>2135.0471081035348</v>
      </c>
      <c r="N99" s="116">
        <f t="shared" si="28"/>
        <v>0</v>
      </c>
      <c r="O99" s="116">
        <f>SUM(N99:N$109)</f>
        <v>0</v>
      </c>
      <c r="P99" s="115">
        <f>SUM(O99:O$109)</f>
        <v>0</v>
      </c>
      <c r="R99" s="120">
        <v>91</v>
      </c>
      <c r="S99" s="119">
        <f t="shared" si="35"/>
        <v>76380.805999080621</v>
      </c>
      <c r="T99" s="119">
        <f t="shared" si="29"/>
        <v>0</v>
      </c>
      <c r="U99" s="118">
        <f t="shared" si="30"/>
        <v>0</v>
      </c>
      <c r="V99" s="117">
        <f t="shared" si="31"/>
        <v>1</v>
      </c>
      <c r="W99" s="116">
        <f t="shared" si="32"/>
        <v>69.410070831085818</v>
      </c>
      <c r="X99" s="116">
        <f>SUM(W99:W$109)</f>
        <v>535.15729601396265</v>
      </c>
      <c r="Y99" s="116">
        <f>SUM(X99:X$109)</f>
        <v>2803.9582339258445</v>
      </c>
      <c r="Z99" s="116">
        <f t="shared" si="33"/>
        <v>0</v>
      </c>
      <c r="AA99" s="116">
        <f>SUM(Z99:Z$109)</f>
        <v>0</v>
      </c>
      <c r="AB99" s="115">
        <f>SUM(AA99:AA$109)</f>
        <v>0</v>
      </c>
    </row>
    <row r="100" spans="2:28">
      <c r="B100" s="123">
        <v>92</v>
      </c>
      <c r="C100" s="122"/>
      <c r="D100" s="118"/>
      <c r="F100" s="120">
        <v>92</v>
      </c>
      <c r="G100" s="119">
        <f t="shared" si="34"/>
        <v>58159.432258956753</v>
      </c>
      <c r="H100" s="119">
        <f t="shared" si="24"/>
        <v>0</v>
      </c>
      <c r="I100" s="121">
        <f t="shared" si="25"/>
        <v>0</v>
      </c>
      <c r="J100" s="117">
        <f t="shared" si="26"/>
        <v>1</v>
      </c>
      <c r="K100" s="116">
        <f t="shared" si="27"/>
        <v>48.936697048656207</v>
      </c>
      <c r="L100" s="116">
        <f>SUM(K100:K$109)</f>
        <v>354.63875823916618</v>
      </c>
      <c r="M100" s="116">
        <f>SUM(L100:L$109)</f>
        <v>1727.5567170518198</v>
      </c>
      <c r="N100" s="116">
        <f t="shared" si="28"/>
        <v>0</v>
      </c>
      <c r="O100" s="116">
        <f>SUM(N100:N$109)</f>
        <v>0</v>
      </c>
      <c r="P100" s="115">
        <f>SUM(O100:O$109)</f>
        <v>0</v>
      </c>
      <c r="R100" s="120">
        <v>92</v>
      </c>
      <c r="S100" s="119">
        <f t="shared" si="35"/>
        <v>76380.805999080621</v>
      </c>
      <c r="T100" s="119">
        <f t="shared" si="29"/>
        <v>0</v>
      </c>
      <c r="U100" s="118">
        <f t="shared" si="30"/>
        <v>0</v>
      </c>
      <c r="V100" s="117">
        <f t="shared" si="31"/>
        <v>1</v>
      </c>
      <c r="W100" s="116">
        <f t="shared" si="32"/>
        <v>64.268584102857247</v>
      </c>
      <c r="X100" s="116">
        <f>SUM(W100:W$109)</f>
        <v>465.74722518287689</v>
      </c>
      <c r="Y100" s="116">
        <f>SUM(X100:X$109)</f>
        <v>2268.8009379118821</v>
      </c>
      <c r="Z100" s="116">
        <f t="shared" si="33"/>
        <v>0</v>
      </c>
      <c r="AA100" s="116">
        <f>SUM(Z100:Z$109)</f>
        <v>0</v>
      </c>
      <c r="AB100" s="115">
        <f>SUM(AA100:AA$109)</f>
        <v>0</v>
      </c>
    </row>
    <row r="101" spans="2:28">
      <c r="B101" s="123">
        <v>93</v>
      </c>
      <c r="C101" s="122"/>
      <c r="D101" s="118"/>
      <c r="F101" s="120">
        <v>93</v>
      </c>
      <c r="G101" s="119">
        <f t="shared" si="34"/>
        <v>58159.432258956753</v>
      </c>
      <c r="H101" s="119">
        <f t="shared" si="24"/>
        <v>0</v>
      </c>
      <c r="I101" s="121">
        <f t="shared" si="25"/>
        <v>0</v>
      </c>
      <c r="J101" s="117">
        <f t="shared" si="26"/>
        <v>1</v>
      </c>
      <c r="K101" s="116">
        <f t="shared" si="27"/>
        <v>45.311756526533507</v>
      </c>
      <c r="L101" s="116">
        <f>SUM(K101:K$109)</f>
        <v>305.70206119050994</v>
      </c>
      <c r="M101" s="116">
        <f>SUM(L101:L$109)</f>
        <v>1372.9179588126535</v>
      </c>
      <c r="N101" s="116">
        <f t="shared" si="28"/>
        <v>0</v>
      </c>
      <c r="O101" s="116">
        <f>SUM(N101:N$109)</f>
        <v>0</v>
      </c>
      <c r="P101" s="115">
        <f>SUM(O101:O$109)</f>
        <v>0</v>
      </c>
      <c r="R101" s="120">
        <v>93</v>
      </c>
      <c r="S101" s="119">
        <f t="shared" si="35"/>
        <v>76380.805999080621</v>
      </c>
      <c r="T101" s="119">
        <f t="shared" si="29"/>
        <v>0</v>
      </c>
      <c r="U101" s="118">
        <f t="shared" si="30"/>
        <v>0</v>
      </c>
      <c r="V101" s="117">
        <f t="shared" si="31"/>
        <v>1</v>
      </c>
      <c r="W101" s="116">
        <f t="shared" si="32"/>
        <v>59.507948243386323</v>
      </c>
      <c r="X101" s="116">
        <f>SUM(W101:W$109)</f>
        <v>401.4786410800196</v>
      </c>
      <c r="Y101" s="116">
        <f>SUM(X101:X$109)</f>
        <v>1803.0537127290056</v>
      </c>
      <c r="Z101" s="116">
        <f t="shared" si="33"/>
        <v>0</v>
      </c>
      <c r="AA101" s="116">
        <f>SUM(Z101:Z$109)</f>
        <v>0</v>
      </c>
      <c r="AB101" s="115">
        <f>SUM(AA101:AA$109)</f>
        <v>0</v>
      </c>
    </row>
    <row r="102" spans="2:28">
      <c r="B102" s="123">
        <v>94</v>
      </c>
      <c r="C102" s="122"/>
      <c r="D102" s="118"/>
      <c r="F102" s="120">
        <v>94</v>
      </c>
      <c r="G102" s="119">
        <f t="shared" si="34"/>
        <v>58159.432258956753</v>
      </c>
      <c r="H102" s="119">
        <f t="shared" si="24"/>
        <v>0</v>
      </c>
      <c r="I102" s="121">
        <f t="shared" si="25"/>
        <v>0</v>
      </c>
      <c r="J102" s="117">
        <f t="shared" si="26"/>
        <v>1</v>
      </c>
      <c r="K102" s="116">
        <f t="shared" si="27"/>
        <v>41.955330117160656</v>
      </c>
      <c r="L102" s="116">
        <f>SUM(K102:K$109)</f>
        <v>260.39030466397645</v>
      </c>
      <c r="M102" s="116">
        <f>SUM(L102:L$109)</f>
        <v>1067.2158976221435</v>
      </c>
      <c r="N102" s="116">
        <f t="shared" si="28"/>
        <v>0</v>
      </c>
      <c r="O102" s="116">
        <f>SUM(N102:N$109)</f>
        <v>0</v>
      </c>
      <c r="P102" s="115">
        <f>SUM(O102:O$109)</f>
        <v>0</v>
      </c>
      <c r="R102" s="120">
        <v>94</v>
      </c>
      <c r="S102" s="119">
        <f t="shared" si="35"/>
        <v>76380.805999080621</v>
      </c>
      <c r="T102" s="119">
        <f t="shared" si="29"/>
        <v>0</v>
      </c>
      <c r="U102" s="118">
        <f t="shared" si="30"/>
        <v>0</v>
      </c>
      <c r="V102" s="117">
        <f t="shared" si="31"/>
        <v>1</v>
      </c>
      <c r="W102" s="116">
        <f t="shared" si="32"/>
        <v>55.099952077209551</v>
      </c>
      <c r="X102" s="116">
        <f>SUM(W102:W$109)</f>
        <v>341.97069283663336</v>
      </c>
      <c r="Y102" s="116">
        <f>SUM(X102:X$109)</f>
        <v>1401.5750716489858</v>
      </c>
      <c r="Z102" s="116">
        <f t="shared" si="33"/>
        <v>0</v>
      </c>
      <c r="AA102" s="116">
        <f>SUM(Z102:Z$109)</f>
        <v>0</v>
      </c>
      <c r="AB102" s="115">
        <f>SUM(AA102:AA$109)</f>
        <v>0</v>
      </c>
    </row>
    <row r="103" spans="2:28">
      <c r="B103" s="123">
        <v>95</v>
      </c>
      <c r="C103" s="122"/>
      <c r="D103" s="118"/>
      <c r="F103" s="120">
        <v>95</v>
      </c>
      <c r="G103" s="119">
        <f t="shared" si="34"/>
        <v>58159.432258956753</v>
      </c>
      <c r="H103" s="119">
        <f t="shared" si="24"/>
        <v>0</v>
      </c>
      <c r="I103" s="121">
        <f t="shared" si="25"/>
        <v>0</v>
      </c>
      <c r="J103" s="117">
        <f t="shared" si="26"/>
        <v>1</v>
      </c>
      <c r="K103" s="116">
        <f t="shared" si="27"/>
        <v>38.847527886259854</v>
      </c>
      <c r="L103" s="116">
        <f>SUM(K103:K$109)</f>
        <v>218.43497454681577</v>
      </c>
      <c r="M103" s="116">
        <f>SUM(L103:L$109)</f>
        <v>806.82559295816714</v>
      </c>
      <c r="N103" s="116">
        <f t="shared" si="28"/>
        <v>0</v>
      </c>
      <c r="O103" s="116">
        <f>SUM(N103:N$109)</f>
        <v>0</v>
      </c>
      <c r="P103" s="115">
        <f>SUM(O103:O$109)</f>
        <v>0</v>
      </c>
      <c r="R103" s="120">
        <v>95</v>
      </c>
      <c r="S103" s="119">
        <f t="shared" si="35"/>
        <v>76380.805999080621</v>
      </c>
      <c r="T103" s="119">
        <f t="shared" si="29"/>
        <v>0</v>
      </c>
      <c r="U103" s="118">
        <f t="shared" si="30"/>
        <v>0</v>
      </c>
      <c r="V103" s="117">
        <f t="shared" si="31"/>
        <v>1</v>
      </c>
      <c r="W103" s="116">
        <f t="shared" si="32"/>
        <v>51.01847414556439</v>
      </c>
      <c r="X103" s="116">
        <f>SUM(W103:W$109)</f>
        <v>286.87074075942377</v>
      </c>
      <c r="Y103" s="116">
        <f>SUM(X103:X$109)</f>
        <v>1059.6043788123525</v>
      </c>
      <c r="Z103" s="116">
        <f t="shared" si="33"/>
        <v>0</v>
      </c>
      <c r="AA103" s="116">
        <f>SUM(Z103:Z$109)</f>
        <v>0</v>
      </c>
      <c r="AB103" s="115">
        <f>SUM(AA103:AA$109)</f>
        <v>0</v>
      </c>
    </row>
    <row r="104" spans="2:28">
      <c r="B104" s="123">
        <v>96</v>
      </c>
      <c r="C104" s="122"/>
      <c r="D104" s="118"/>
      <c r="F104" s="120">
        <v>96</v>
      </c>
      <c r="G104" s="119">
        <f t="shared" si="34"/>
        <v>58159.432258956753</v>
      </c>
      <c r="H104" s="119">
        <f t="shared" ref="H104:H109" si="36">G104*I104</f>
        <v>0</v>
      </c>
      <c r="I104" s="121">
        <f t="shared" ref="I104:I109" si="37">C104*$D$2</f>
        <v>0</v>
      </c>
      <c r="J104" s="117">
        <f t="shared" ref="J104:J109" si="38">1-I104</f>
        <v>1</v>
      </c>
      <c r="K104" s="116">
        <f t="shared" ref="K104:K109" si="39">v($C$2)^$F104*$G104</f>
        <v>35.969933228018391</v>
      </c>
      <c r="L104" s="116">
        <f>SUM(K104:K$109)</f>
        <v>179.58744666055591</v>
      </c>
      <c r="M104" s="116">
        <f>SUM(L104:L$109)</f>
        <v>588.3906184113514</v>
      </c>
      <c r="N104" s="116">
        <f t="shared" ref="N104:N109" si="40">v($C$2)^($F104+1)*$H104</f>
        <v>0</v>
      </c>
      <c r="O104" s="116">
        <f>SUM(N104:N$109)</f>
        <v>0</v>
      </c>
      <c r="P104" s="115">
        <f>SUM(O104:O$109)</f>
        <v>0</v>
      </c>
      <c r="R104" s="120">
        <v>96</v>
      </c>
      <c r="S104" s="119">
        <f t="shared" si="35"/>
        <v>76380.805999080621</v>
      </c>
      <c r="T104" s="119">
        <f t="shared" ref="T104:T109" si="41">S104*U104</f>
        <v>0</v>
      </c>
      <c r="U104" s="118">
        <f t="shared" si="30"/>
        <v>0</v>
      </c>
      <c r="V104" s="117">
        <f t="shared" ref="V104:V109" si="42">1-U104</f>
        <v>1</v>
      </c>
      <c r="W104" s="116">
        <f t="shared" ref="W104:W109" si="43">v($C$2)^$R104*$S104</f>
        <v>47.239327912559624</v>
      </c>
      <c r="X104" s="116">
        <f>SUM(W104:W$109)</f>
        <v>235.85226661385937</v>
      </c>
      <c r="Y104" s="116">
        <f>SUM(X104:X$109)</f>
        <v>772.73363805292843</v>
      </c>
      <c r="Z104" s="116">
        <f t="shared" ref="Z104:Z109" si="44">v($C$2)^($R104+1)*T104</f>
        <v>0</v>
      </c>
      <c r="AA104" s="116">
        <f>SUM(Z104:Z$109)</f>
        <v>0</v>
      </c>
      <c r="AB104" s="115">
        <f>SUM(AA104:AA$109)</f>
        <v>0</v>
      </c>
    </row>
    <row r="105" spans="2:28">
      <c r="B105" s="123">
        <v>97</v>
      </c>
      <c r="C105" s="122"/>
      <c r="D105" s="118"/>
      <c r="F105" s="120">
        <v>97</v>
      </c>
      <c r="G105" s="119">
        <f t="shared" si="34"/>
        <v>58159.432258956753</v>
      </c>
      <c r="H105" s="119">
        <f t="shared" si="36"/>
        <v>0</v>
      </c>
      <c r="I105" s="121">
        <f t="shared" si="37"/>
        <v>0</v>
      </c>
      <c r="J105" s="117">
        <f t="shared" si="38"/>
        <v>1</v>
      </c>
      <c r="K105" s="116">
        <f t="shared" si="39"/>
        <v>33.305493729646656</v>
      </c>
      <c r="L105" s="116">
        <f>SUM(K105:K$109)</f>
        <v>143.61751343253752</v>
      </c>
      <c r="M105" s="116">
        <f>SUM(L105:L$109)</f>
        <v>408.80317175079546</v>
      </c>
      <c r="N105" s="116">
        <f t="shared" si="40"/>
        <v>0</v>
      </c>
      <c r="O105" s="116">
        <f>SUM(N105:N$109)</f>
        <v>0</v>
      </c>
      <c r="P105" s="115">
        <f>SUM(O105:O$109)</f>
        <v>0</v>
      </c>
      <c r="R105" s="120">
        <v>97</v>
      </c>
      <c r="S105" s="119">
        <f t="shared" si="35"/>
        <v>76380.805999080621</v>
      </c>
      <c r="T105" s="119">
        <f t="shared" si="41"/>
        <v>0</v>
      </c>
      <c r="U105" s="118">
        <f t="shared" si="30"/>
        <v>0</v>
      </c>
      <c r="V105" s="117">
        <f t="shared" si="42"/>
        <v>1</v>
      </c>
      <c r="W105" s="116">
        <f t="shared" si="43"/>
        <v>43.740118437555211</v>
      </c>
      <c r="X105" s="116">
        <f>SUM(W105:W$109)</f>
        <v>188.61293870129973</v>
      </c>
      <c r="Y105" s="116">
        <f>SUM(X105:X$109)</f>
        <v>536.88137143906908</v>
      </c>
      <c r="Z105" s="116">
        <f t="shared" si="44"/>
        <v>0</v>
      </c>
      <c r="AA105" s="116">
        <f>SUM(Z105:Z$109)</f>
        <v>0</v>
      </c>
      <c r="AB105" s="115">
        <f>SUM(AA105:AA$109)</f>
        <v>0</v>
      </c>
    </row>
    <row r="106" spans="2:28">
      <c r="B106" s="123">
        <v>98</v>
      </c>
      <c r="C106" s="122"/>
      <c r="D106" s="118"/>
      <c r="F106" s="120">
        <v>98</v>
      </c>
      <c r="G106" s="119">
        <f t="shared" si="34"/>
        <v>58159.432258956753</v>
      </c>
      <c r="H106" s="119">
        <f t="shared" si="36"/>
        <v>0</v>
      </c>
      <c r="I106" s="121">
        <f t="shared" si="37"/>
        <v>0</v>
      </c>
      <c r="J106" s="117">
        <f t="shared" si="38"/>
        <v>1</v>
      </c>
      <c r="K106" s="116">
        <f t="shared" si="39"/>
        <v>30.838420120043196</v>
      </c>
      <c r="L106" s="116">
        <f>SUM(K106:K$109)</f>
        <v>110.31201970289086</v>
      </c>
      <c r="M106" s="116">
        <f>SUM(L106:L$109)</f>
        <v>265.18565831825794</v>
      </c>
      <c r="N106" s="116">
        <f t="shared" si="40"/>
        <v>0</v>
      </c>
      <c r="O106" s="116">
        <f>SUM(N106:N$109)</f>
        <v>0</v>
      </c>
      <c r="P106" s="115">
        <f>SUM(O106:O$109)</f>
        <v>0</v>
      </c>
      <c r="R106" s="120">
        <v>98</v>
      </c>
      <c r="S106" s="119">
        <f t="shared" si="35"/>
        <v>76380.805999080621</v>
      </c>
      <c r="T106" s="119">
        <f t="shared" si="41"/>
        <v>0</v>
      </c>
      <c r="U106" s="118">
        <f t="shared" si="30"/>
        <v>0</v>
      </c>
      <c r="V106" s="117">
        <f t="shared" si="42"/>
        <v>1</v>
      </c>
      <c r="W106" s="116">
        <f t="shared" si="43"/>
        <v>40.500109664402963</v>
      </c>
      <c r="X106" s="116">
        <f>SUM(W106:W$109)</f>
        <v>144.87282026374453</v>
      </c>
      <c r="Y106" s="116">
        <f>SUM(X106:X$109)</f>
        <v>348.26843273776944</v>
      </c>
      <c r="Z106" s="116">
        <f t="shared" si="44"/>
        <v>0</v>
      </c>
      <c r="AA106" s="116">
        <f>SUM(Z106:Z$109)</f>
        <v>0</v>
      </c>
      <c r="AB106" s="115">
        <f>SUM(AA106:AA$109)</f>
        <v>0</v>
      </c>
    </row>
    <row r="107" spans="2:28">
      <c r="B107" s="123">
        <v>99</v>
      </c>
      <c r="C107" s="122"/>
      <c r="D107" s="118"/>
      <c r="F107" s="120">
        <v>99</v>
      </c>
      <c r="G107" s="119">
        <f t="shared" si="34"/>
        <v>58159.432258956753</v>
      </c>
      <c r="H107" s="119">
        <f t="shared" si="36"/>
        <v>0</v>
      </c>
      <c r="I107" s="121">
        <f t="shared" si="37"/>
        <v>0</v>
      </c>
      <c r="J107" s="117">
        <f t="shared" si="38"/>
        <v>1</v>
      </c>
      <c r="K107" s="116">
        <f t="shared" si="39"/>
        <v>28.554092703743699</v>
      </c>
      <c r="L107" s="116">
        <f>SUM(K107:K$109)</f>
        <v>79.473599582847683</v>
      </c>
      <c r="M107" s="116">
        <f>SUM(L107:L$109)</f>
        <v>154.87363861536704</v>
      </c>
      <c r="N107" s="116">
        <f t="shared" si="40"/>
        <v>0</v>
      </c>
      <c r="O107" s="116">
        <f>SUM(N107:N$109)</f>
        <v>0</v>
      </c>
      <c r="P107" s="115">
        <f>SUM(O107:O$109)</f>
        <v>0</v>
      </c>
      <c r="R107" s="120">
        <v>99</v>
      </c>
      <c r="S107" s="119">
        <f t="shared" si="35"/>
        <v>76380.805999080621</v>
      </c>
      <c r="T107" s="119">
        <f t="shared" si="41"/>
        <v>0</v>
      </c>
      <c r="U107" s="118">
        <f t="shared" si="30"/>
        <v>0</v>
      </c>
      <c r="V107" s="117">
        <f t="shared" si="42"/>
        <v>1</v>
      </c>
      <c r="W107" s="116">
        <f t="shared" si="43"/>
        <v>37.500101541113857</v>
      </c>
      <c r="X107" s="116">
        <f>SUM(W107:W$109)</f>
        <v>104.37271059934156</v>
      </c>
      <c r="Y107" s="116">
        <f>SUM(X107:X$109)</f>
        <v>203.39561247402489</v>
      </c>
      <c r="Z107" s="116">
        <f t="shared" si="44"/>
        <v>0</v>
      </c>
      <c r="AA107" s="116">
        <f>SUM(Z107:Z$109)</f>
        <v>0</v>
      </c>
      <c r="AB107" s="115">
        <f>SUM(AA107:AA$109)</f>
        <v>0</v>
      </c>
    </row>
    <row r="108" spans="2:28">
      <c r="B108" s="123">
        <v>100</v>
      </c>
      <c r="C108" s="122"/>
      <c r="D108" s="118"/>
      <c r="F108" s="120">
        <v>100</v>
      </c>
      <c r="G108" s="119">
        <f t="shared" si="34"/>
        <v>58159.432258956753</v>
      </c>
      <c r="H108" s="119">
        <f t="shared" si="36"/>
        <v>0</v>
      </c>
      <c r="I108" s="121">
        <f t="shared" si="37"/>
        <v>0</v>
      </c>
      <c r="J108" s="117">
        <f t="shared" si="38"/>
        <v>1</v>
      </c>
      <c r="K108" s="116">
        <f t="shared" si="39"/>
        <v>26.43897472568861</v>
      </c>
      <c r="L108" s="116">
        <f>SUM(K108:K$109)</f>
        <v>50.919506879103977</v>
      </c>
      <c r="M108" s="116">
        <f>SUM(L108:L$109)</f>
        <v>75.400039032519345</v>
      </c>
      <c r="N108" s="116">
        <f t="shared" si="40"/>
        <v>0</v>
      </c>
      <c r="O108" s="116">
        <f>SUM(N108:N$109)</f>
        <v>0</v>
      </c>
      <c r="P108" s="115">
        <f>SUM(O108:O$109)</f>
        <v>0</v>
      </c>
      <c r="R108" s="120">
        <v>100</v>
      </c>
      <c r="S108" s="119">
        <f t="shared" si="35"/>
        <v>76380.805999080621</v>
      </c>
      <c r="T108" s="119">
        <f t="shared" si="41"/>
        <v>0</v>
      </c>
      <c r="U108" s="118">
        <f t="shared" si="30"/>
        <v>0</v>
      </c>
      <c r="V108" s="117">
        <f t="shared" si="42"/>
        <v>1</v>
      </c>
      <c r="W108" s="116">
        <f t="shared" si="43"/>
        <v>34.722316241772084</v>
      </c>
      <c r="X108" s="116">
        <f>SUM(W108:W$109)</f>
        <v>66.87260905822771</v>
      </c>
      <c r="Y108" s="116">
        <f>SUM(X108:X$109)</f>
        <v>99.022901874683328</v>
      </c>
      <c r="Z108" s="116">
        <f t="shared" si="44"/>
        <v>0</v>
      </c>
      <c r="AA108" s="116">
        <f>SUM(Z108:Z$109)</f>
        <v>0</v>
      </c>
      <c r="AB108" s="115">
        <f>SUM(AA108:AA$109)</f>
        <v>0</v>
      </c>
    </row>
    <row r="109" spans="2:28">
      <c r="B109" s="114">
        <v>101</v>
      </c>
      <c r="C109" s="113"/>
      <c r="D109" s="109"/>
      <c r="F109" s="111">
        <v>101</v>
      </c>
      <c r="G109" s="110">
        <f t="shared" si="34"/>
        <v>58159.432258956753</v>
      </c>
      <c r="H109" s="110">
        <f t="shared" si="36"/>
        <v>0</v>
      </c>
      <c r="I109" s="112">
        <f t="shared" si="37"/>
        <v>0</v>
      </c>
      <c r="J109" s="108">
        <f t="shared" si="38"/>
        <v>1</v>
      </c>
      <c r="K109" s="107">
        <f t="shared" si="39"/>
        <v>24.480532153415371</v>
      </c>
      <c r="L109" s="107">
        <f>SUM(K109:K$109)</f>
        <v>24.480532153415371</v>
      </c>
      <c r="M109" s="107">
        <f>SUM(L109:L$109)</f>
        <v>24.480532153415371</v>
      </c>
      <c r="N109" s="107">
        <f t="shared" si="40"/>
        <v>0</v>
      </c>
      <c r="O109" s="107">
        <f>SUM(N109:N$109)</f>
        <v>0</v>
      </c>
      <c r="P109" s="106">
        <f>SUM(O109:O$109)</f>
        <v>0</v>
      </c>
      <c r="R109" s="111">
        <v>101</v>
      </c>
      <c r="S109" s="110">
        <f t="shared" si="35"/>
        <v>76380.805999080621</v>
      </c>
      <c r="T109" s="110">
        <f t="shared" si="41"/>
        <v>0</v>
      </c>
      <c r="U109" s="109">
        <v>0</v>
      </c>
      <c r="V109" s="108">
        <f t="shared" si="42"/>
        <v>1</v>
      </c>
      <c r="W109" s="107">
        <f t="shared" si="43"/>
        <v>32.150292816455625</v>
      </c>
      <c r="X109" s="107">
        <f>SUM(W109:W$109)</f>
        <v>32.150292816455625</v>
      </c>
      <c r="Y109" s="107">
        <f>SUM(X109:X$109)</f>
        <v>32.150292816455625</v>
      </c>
      <c r="Z109" s="107">
        <f t="shared" si="44"/>
        <v>0</v>
      </c>
      <c r="AA109" s="107">
        <f>SUM(Z109:Z$109)</f>
        <v>0</v>
      </c>
      <c r="AB109" s="106">
        <f>SUM(AA109:AA$109)</f>
        <v>0</v>
      </c>
    </row>
  </sheetData>
  <mergeCells count="6">
    <mergeCell ref="F4:P4"/>
    <mergeCell ref="R4:AB4"/>
    <mergeCell ref="F5:P5"/>
    <mergeCell ref="R5:AB5"/>
    <mergeCell ref="F6:P6"/>
    <mergeCell ref="R6:AB6"/>
  </mergeCell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4">
    <tabColor theme="9"/>
  </sheetPr>
  <dimension ref="B1:AB109"/>
  <sheetViews>
    <sheetView topLeftCell="E1" zoomScale="85" zoomScaleNormal="85" workbookViewId="0">
      <selection activeCell="V2" sqref="R2:AB43"/>
    </sheetView>
  </sheetViews>
  <sheetFormatPr defaultColWidth="9.140625" defaultRowHeight="12.75"/>
  <cols>
    <col min="1" max="1" width="5.5703125" style="102" customWidth="1"/>
    <col min="2" max="2" width="5.5703125" style="105" customWidth="1"/>
    <col min="3" max="4" width="14.42578125" style="103" customWidth="1"/>
    <col min="5" max="5" width="8.5703125" style="102" customWidth="1"/>
    <col min="6" max="6" width="5.5703125" style="105" customWidth="1"/>
    <col min="7" max="8" width="12.85546875" style="104" customWidth="1"/>
    <col min="9" max="16" width="12.85546875" style="103" customWidth="1"/>
    <col min="17" max="17" width="2.85546875" style="102" customWidth="1"/>
    <col min="18" max="18" width="5.5703125" style="105" customWidth="1"/>
    <col min="19" max="20" width="12.85546875" style="104" customWidth="1"/>
    <col min="21" max="28" width="12.85546875" style="103" customWidth="1"/>
    <col min="29" max="29" width="2.85546875" style="102" customWidth="1"/>
    <col min="30" max="16384" width="9.140625" style="102"/>
  </cols>
  <sheetData>
    <row r="1" spans="2:28">
      <c r="D1" s="224" t="s">
        <v>130</v>
      </c>
    </row>
    <row r="2" spans="2:28">
      <c r="B2" s="141" t="s">
        <v>127</v>
      </c>
      <c r="C2" s="143">
        <f>ii</f>
        <v>0.08</v>
      </c>
      <c r="D2" s="143">
        <v>1</v>
      </c>
    </row>
    <row r="4" spans="2:28">
      <c r="B4" s="141" t="s">
        <v>126</v>
      </c>
      <c r="C4" s="142"/>
      <c r="D4" s="142"/>
      <c r="F4" s="563" t="s">
        <v>129</v>
      </c>
      <c r="G4" s="563"/>
      <c r="H4" s="563"/>
      <c r="I4" s="563"/>
      <c r="J4" s="563"/>
      <c r="K4" s="563"/>
      <c r="L4" s="563"/>
      <c r="M4" s="563"/>
      <c r="N4" s="563"/>
      <c r="O4" s="563"/>
      <c r="P4" s="563"/>
      <c r="R4" s="563" t="s">
        <v>129</v>
      </c>
      <c r="S4" s="563"/>
      <c r="T4" s="563"/>
      <c r="U4" s="563"/>
      <c r="V4" s="563"/>
      <c r="W4" s="563"/>
      <c r="X4" s="563"/>
      <c r="Y4" s="563"/>
      <c r="Z4" s="563"/>
      <c r="AA4" s="563"/>
      <c r="AB4" s="563"/>
    </row>
    <row r="5" spans="2:28">
      <c r="B5" s="141"/>
      <c r="C5" s="142"/>
      <c r="D5" s="142"/>
      <c r="F5" s="564" t="s">
        <v>124</v>
      </c>
      <c r="G5" s="564"/>
      <c r="H5" s="564"/>
      <c r="I5" s="564"/>
      <c r="J5" s="564"/>
      <c r="K5" s="564"/>
      <c r="L5" s="564"/>
      <c r="M5" s="564"/>
      <c r="N5" s="564"/>
      <c r="O5" s="564"/>
      <c r="P5" s="564"/>
      <c r="R5" s="564" t="s">
        <v>123</v>
      </c>
      <c r="S5" s="564"/>
      <c r="T5" s="564"/>
      <c r="U5" s="564"/>
      <c r="V5" s="564"/>
      <c r="W5" s="564"/>
      <c r="X5" s="564"/>
      <c r="Y5" s="564"/>
      <c r="Z5" s="564"/>
      <c r="AA5" s="564"/>
      <c r="AB5" s="564"/>
    </row>
    <row r="6" spans="2:28">
      <c r="B6" s="141"/>
      <c r="C6" s="224" t="s">
        <v>124</v>
      </c>
      <c r="D6" s="224" t="s">
        <v>123</v>
      </c>
      <c r="F6" s="564" t="str">
        <f>"Норма доходности "&amp;$C$2</f>
        <v>Норма доходности 0,08</v>
      </c>
      <c r="G6" s="564"/>
      <c r="H6" s="564"/>
      <c r="I6" s="564"/>
      <c r="J6" s="564"/>
      <c r="K6" s="564"/>
      <c r="L6" s="564"/>
      <c r="M6" s="564"/>
      <c r="N6" s="564"/>
      <c r="O6" s="564"/>
      <c r="P6" s="564"/>
      <c r="R6" s="564" t="str">
        <f>"Норма доходности "&amp;ii</f>
        <v>Норма доходности 0,08</v>
      </c>
      <c r="S6" s="564"/>
      <c r="T6" s="564"/>
      <c r="U6" s="564"/>
      <c r="V6" s="564"/>
      <c r="W6" s="564"/>
      <c r="X6" s="564"/>
      <c r="Y6" s="564"/>
      <c r="Z6" s="564"/>
      <c r="AA6" s="564"/>
      <c r="AB6" s="564"/>
    </row>
    <row r="7" spans="2:28">
      <c r="B7" s="140" t="s">
        <v>67</v>
      </c>
      <c r="C7" s="137" t="s">
        <v>120</v>
      </c>
      <c r="D7" s="136" t="s">
        <v>120</v>
      </c>
      <c r="F7" s="139" t="s">
        <v>67</v>
      </c>
      <c r="G7" s="138" t="s">
        <v>122</v>
      </c>
      <c r="H7" s="138" t="s">
        <v>121</v>
      </c>
      <c r="I7" s="137" t="s">
        <v>120</v>
      </c>
      <c r="J7" s="137" t="s">
        <v>119</v>
      </c>
      <c r="K7" s="137" t="s">
        <v>118</v>
      </c>
      <c r="L7" s="137" t="s">
        <v>117</v>
      </c>
      <c r="M7" s="137" t="s">
        <v>116</v>
      </c>
      <c r="N7" s="137" t="s">
        <v>115</v>
      </c>
      <c r="O7" s="137" t="s">
        <v>114</v>
      </c>
      <c r="P7" s="136" t="s">
        <v>113</v>
      </c>
      <c r="R7" s="139" t="s">
        <v>67</v>
      </c>
      <c r="S7" s="138" t="s">
        <v>122</v>
      </c>
      <c r="T7" s="138" t="s">
        <v>121</v>
      </c>
      <c r="U7" s="137" t="s">
        <v>120</v>
      </c>
      <c r="V7" s="137" t="s">
        <v>119</v>
      </c>
      <c r="W7" s="137" t="s">
        <v>118</v>
      </c>
      <c r="X7" s="137" t="s">
        <v>117</v>
      </c>
      <c r="Y7" s="137" t="s">
        <v>116</v>
      </c>
      <c r="Z7" s="137" t="s">
        <v>115</v>
      </c>
      <c r="AA7" s="137" t="s">
        <v>114</v>
      </c>
      <c r="AB7" s="136" t="s">
        <v>113</v>
      </c>
    </row>
    <row r="8" spans="2:28">
      <c r="B8" s="123">
        <v>0</v>
      </c>
      <c r="C8" s="149"/>
      <c r="D8" s="148"/>
      <c r="F8" s="134">
        <v>0</v>
      </c>
      <c r="G8" s="133">
        <v>100000</v>
      </c>
      <c r="H8" s="132">
        <f t="shared" ref="H8:H39" si="0">G8*I8</f>
        <v>0</v>
      </c>
      <c r="I8" s="135">
        <f t="shared" ref="I8:I39" si="1">C8*$D$2</f>
        <v>0</v>
      </c>
      <c r="J8" s="130">
        <f t="shared" ref="J8:J39" si="2">1-I8</f>
        <v>1</v>
      </c>
      <c r="K8" s="129">
        <f t="shared" ref="K8:K39" si="3">v($C$2)^$F8*$G8</f>
        <v>100000</v>
      </c>
      <c r="L8" s="129">
        <f>SUM(K8:K$109)</f>
        <v>1347585.0659926618</v>
      </c>
      <c r="M8" s="129">
        <f>SUM(L8:L$109)</f>
        <v>18056503.370134547</v>
      </c>
      <c r="N8" s="129">
        <f t="shared" ref="N8:N39" si="4">v($C$2)^($F8+1)*$H8</f>
        <v>0</v>
      </c>
      <c r="O8" s="129">
        <f>SUM(N8:N$109)</f>
        <v>142.74497456122623</v>
      </c>
      <c r="P8" s="128">
        <f>SUM(O8:O$109)</f>
        <v>6380.1171843575376</v>
      </c>
      <c r="R8" s="134">
        <v>0</v>
      </c>
      <c r="S8" s="133">
        <v>100000</v>
      </c>
      <c r="T8" s="132">
        <f t="shared" ref="T8:T39" si="5">S8*U8</f>
        <v>0</v>
      </c>
      <c r="U8" s="131">
        <f t="shared" ref="U8:U39" si="6">D8*$D$2</f>
        <v>0</v>
      </c>
      <c r="V8" s="130">
        <f t="shared" ref="V8:V39" si="7">1-U8</f>
        <v>1</v>
      </c>
      <c r="W8" s="129">
        <f t="shared" ref="W8:W39" si="8">v($C$2)^$R8*$S8</f>
        <v>100000</v>
      </c>
      <c r="X8" s="129">
        <f>SUM(W8:W$109)</f>
        <v>1347768.8045299524</v>
      </c>
      <c r="Y8" s="129">
        <f>SUM(X8:X$109)</f>
        <v>18063995.214462258</v>
      </c>
      <c r="Z8" s="129">
        <f t="shared" ref="Z8:Z39" si="9">v($C$2)^($R8+1)*T8</f>
        <v>0</v>
      </c>
      <c r="AA8" s="129">
        <f>SUM(Z8:Z$109)</f>
        <v>129.14196074012082</v>
      </c>
      <c r="AB8" s="128">
        <f>SUM(AA8:AA$109)</f>
        <v>6009.6436064151922</v>
      </c>
    </row>
    <row r="9" spans="2:28">
      <c r="B9" s="127">
        <v>1</v>
      </c>
      <c r="C9" s="149"/>
      <c r="D9" s="148"/>
      <c r="F9" s="126">
        <v>1</v>
      </c>
      <c r="G9" s="119">
        <f t="shared" ref="G9:G40" si="10">G8-H8</f>
        <v>100000</v>
      </c>
      <c r="H9" s="119">
        <f t="shared" si="0"/>
        <v>0</v>
      </c>
      <c r="I9" s="121">
        <f t="shared" si="1"/>
        <v>0</v>
      </c>
      <c r="J9" s="117">
        <f t="shared" si="2"/>
        <v>1</v>
      </c>
      <c r="K9" s="116">
        <f t="shared" si="3"/>
        <v>92592.592592592584</v>
      </c>
      <c r="L9" s="116">
        <f>SUM(K9:K$109)</f>
        <v>1247585.065992662</v>
      </c>
      <c r="M9" s="116">
        <f>SUM(L9:L$109)</f>
        <v>16708918.304141888</v>
      </c>
      <c r="N9" s="116">
        <f t="shared" si="4"/>
        <v>0</v>
      </c>
      <c r="O9" s="116">
        <f>SUM(N9:N$109)</f>
        <v>142.74497456122623</v>
      </c>
      <c r="P9" s="115">
        <f>SUM(O9:O$109)</f>
        <v>6237.3722097963127</v>
      </c>
      <c r="R9" s="126">
        <v>1</v>
      </c>
      <c r="S9" s="119">
        <f t="shared" ref="S9:S40" si="11">S8-T8</f>
        <v>100000</v>
      </c>
      <c r="T9" s="119">
        <f t="shared" si="5"/>
        <v>0</v>
      </c>
      <c r="U9" s="118">
        <f t="shared" si="6"/>
        <v>0</v>
      </c>
      <c r="V9" s="117">
        <f t="shared" si="7"/>
        <v>1</v>
      </c>
      <c r="W9" s="116">
        <f t="shared" si="8"/>
        <v>92592.592592592584</v>
      </c>
      <c r="X9" s="116">
        <f>SUM(W9:W$109)</f>
        <v>1247768.8045299521</v>
      </c>
      <c r="Y9" s="116">
        <f>SUM(X9:X$109)</f>
        <v>16716226.409932319</v>
      </c>
      <c r="Z9" s="116">
        <f t="shared" si="9"/>
        <v>0</v>
      </c>
      <c r="AA9" s="116">
        <f>SUM(Z9:Z$109)</f>
        <v>129.14196074012082</v>
      </c>
      <c r="AB9" s="115">
        <f>SUM(AA9:AA$109)</f>
        <v>5880.5016456750718</v>
      </c>
    </row>
    <row r="10" spans="2:28">
      <c r="B10" s="123">
        <v>2</v>
      </c>
      <c r="C10" s="149"/>
      <c r="D10" s="148"/>
      <c r="F10" s="120">
        <v>2</v>
      </c>
      <c r="G10" s="119">
        <f t="shared" si="10"/>
        <v>100000</v>
      </c>
      <c r="H10" s="119">
        <f t="shared" si="0"/>
        <v>0</v>
      </c>
      <c r="I10" s="121">
        <f t="shared" si="1"/>
        <v>0</v>
      </c>
      <c r="J10" s="117">
        <f t="shared" si="2"/>
        <v>1</v>
      </c>
      <c r="K10" s="116">
        <f t="shared" si="3"/>
        <v>85733.882030178313</v>
      </c>
      <c r="L10" s="116">
        <f>SUM(K10:K$109)</f>
        <v>1154992.4734000694</v>
      </c>
      <c r="M10" s="116">
        <f>SUM(L10:L$109)</f>
        <v>15461333.238149228</v>
      </c>
      <c r="N10" s="116">
        <f t="shared" si="4"/>
        <v>0</v>
      </c>
      <c r="O10" s="116">
        <f>SUM(N10:N$109)</f>
        <v>142.74497456122623</v>
      </c>
      <c r="P10" s="115">
        <f>SUM(O10:O$109)</f>
        <v>6094.6272352350861</v>
      </c>
      <c r="R10" s="120">
        <v>2</v>
      </c>
      <c r="S10" s="119">
        <f t="shared" si="11"/>
        <v>100000</v>
      </c>
      <c r="T10" s="119">
        <f t="shared" si="5"/>
        <v>0</v>
      </c>
      <c r="U10" s="118">
        <f t="shared" si="6"/>
        <v>0</v>
      </c>
      <c r="V10" s="117">
        <f t="shared" si="7"/>
        <v>1</v>
      </c>
      <c r="W10" s="116">
        <f t="shared" si="8"/>
        <v>85733.882030178313</v>
      </c>
      <c r="X10" s="116">
        <f>SUM(W10:W$109)</f>
        <v>1155176.2119373595</v>
      </c>
      <c r="Y10" s="116">
        <f>SUM(X10:X$109)</f>
        <v>15468457.605402369</v>
      </c>
      <c r="Z10" s="116">
        <f t="shared" si="9"/>
        <v>0</v>
      </c>
      <c r="AA10" s="116">
        <f>SUM(Z10:Z$109)</f>
        <v>129.14196074012082</v>
      </c>
      <c r="AB10" s="115">
        <f>SUM(AA10:AA$109)</f>
        <v>5751.3596849349506</v>
      </c>
    </row>
    <row r="11" spans="2:28">
      <c r="B11" s="123">
        <v>3</v>
      </c>
      <c r="C11" s="149"/>
      <c r="D11" s="148"/>
      <c r="F11" s="120">
        <v>3</v>
      </c>
      <c r="G11" s="119">
        <f t="shared" si="10"/>
        <v>100000</v>
      </c>
      <c r="H11" s="119">
        <f t="shared" si="0"/>
        <v>0</v>
      </c>
      <c r="I11" s="121">
        <f t="shared" si="1"/>
        <v>0</v>
      </c>
      <c r="J11" s="117">
        <f t="shared" si="2"/>
        <v>1</v>
      </c>
      <c r="K11" s="116">
        <f t="shared" si="3"/>
        <v>79383.224102016946</v>
      </c>
      <c r="L11" s="116">
        <f>SUM(K11:K$109)</f>
        <v>1069258.5913698915</v>
      </c>
      <c r="M11" s="116">
        <f>SUM(L11:L$109)</f>
        <v>14306340.76474916</v>
      </c>
      <c r="N11" s="116">
        <f t="shared" si="4"/>
        <v>0</v>
      </c>
      <c r="O11" s="116">
        <f>SUM(N11:N$109)</f>
        <v>142.74497456122623</v>
      </c>
      <c r="P11" s="115">
        <f>SUM(O11:O$109)</f>
        <v>5951.8822606738604</v>
      </c>
      <c r="R11" s="120">
        <v>3</v>
      </c>
      <c r="S11" s="119">
        <f t="shared" si="11"/>
        <v>100000</v>
      </c>
      <c r="T11" s="119">
        <f t="shared" si="5"/>
        <v>0</v>
      </c>
      <c r="U11" s="118">
        <f t="shared" si="6"/>
        <v>0</v>
      </c>
      <c r="V11" s="117">
        <f t="shared" si="7"/>
        <v>1</v>
      </c>
      <c r="W11" s="116">
        <f t="shared" si="8"/>
        <v>79383.224102016946</v>
      </c>
      <c r="X11" s="116">
        <f>SUM(W11:W$109)</f>
        <v>1069442.3299071817</v>
      </c>
      <c r="Y11" s="116">
        <f>SUM(X11:X$109)</f>
        <v>14313281.393465009</v>
      </c>
      <c r="Z11" s="116">
        <f t="shared" si="9"/>
        <v>0</v>
      </c>
      <c r="AA11" s="116">
        <f>SUM(Z11:Z$109)</f>
        <v>129.14196074012082</v>
      </c>
      <c r="AB11" s="115">
        <f>SUM(AA11:AA$109)</f>
        <v>5622.2177241948302</v>
      </c>
    </row>
    <row r="12" spans="2:28">
      <c r="B12" s="123">
        <v>4</v>
      </c>
      <c r="C12" s="149"/>
      <c r="D12" s="148"/>
      <c r="F12" s="120">
        <v>4</v>
      </c>
      <c r="G12" s="119">
        <f t="shared" si="10"/>
        <v>100000</v>
      </c>
      <c r="H12" s="119">
        <f t="shared" si="0"/>
        <v>0</v>
      </c>
      <c r="I12" s="121">
        <f t="shared" si="1"/>
        <v>0</v>
      </c>
      <c r="J12" s="117">
        <f t="shared" si="2"/>
        <v>1</v>
      </c>
      <c r="K12" s="116">
        <f t="shared" si="3"/>
        <v>73502.98527964532</v>
      </c>
      <c r="L12" s="116">
        <f>SUM(K12:K$109)</f>
        <v>989875.36726787384</v>
      </c>
      <c r="M12" s="116">
        <f>SUM(L12:L$109)</f>
        <v>13237082.173379267</v>
      </c>
      <c r="N12" s="116">
        <f t="shared" si="4"/>
        <v>0</v>
      </c>
      <c r="O12" s="116">
        <f>SUM(N12:N$109)</f>
        <v>142.74497456122623</v>
      </c>
      <c r="P12" s="115">
        <f>SUM(O12:O$109)</f>
        <v>5809.1372861126338</v>
      </c>
      <c r="R12" s="120">
        <v>4</v>
      </c>
      <c r="S12" s="119">
        <f t="shared" si="11"/>
        <v>100000</v>
      </c>
      <c r="T12" s="119">
        <f t="shared" si="5"/>
        <v>0</v>
      </c>
      <c r="U12" s="118">
        <f t="shared" si="6"/>
        <v>0</v>
      </c>
      <c r="V12" s="117">
        <f t="shared" si="7"/>
        <v>1</v>
      </c>
      <c r="W12" s="116">
        <f t="shared" si="8"/>
        <v>73502.98527964532</v>
      </c>
      <c r="X12" s="116">
        <f>SUM(W12:W$109)</f>
        <v>990059.10580516537</v>
      </c>
      <c r="Y12" s="116">
        <f>SUM(X12:X$109)</f>
        <v>13243839.063557826</v>
      </c>
      <c r="Z12" s="116">
        <f t="shared" si="9"/>
        <v>0</v>
      </c>
      <c r="AA12" s="116">
        <f>SUM(Z12:Z$109)</f>
        <v>129.14196074012082</v>
      </c>
      <c r="AB12" s="115">
        <f>SUM(AA12:AA$109)</f>
        <v>5493.0757634547099</v>
      </c>
    </row>
    <row r="13" spans="2:28">
      <c r="B13" s="123">
        <v>5</v>
      </c>
      <c r="C13" s="149"/>
      <c r="D13" s="148"/>
      <c r="F13" s="120">
        <v>5</v>
      </c>
      <c r="G13" s="119">
        <f t="shared" si="10"/>
        <v>100000</v>
      </c>
      <c r="H13" s="119">
        <f t="shared" si="0"/>
        <v>0</v>
      </c>
      <c r="I13" s="121">
        <f t="shared" si="1"/>
        <v>0</v>
      </c>
      <c r="J13" s="117">
        <f t="shared" si="2"/>
        <v>1</v>
      </c>
      <c r="K13" s="116">
        <f t="shared" si="3"/>
        <v>68058.31970337528</v>
      </c>
      <c r="L13" s="116">
        <f>SUM(K13:K$109)</f>
        <v>916372.38198822853</v>
      </c>
      <c r="M13" s="116">
        <f>SUM(L13:L$109)</f>
        <v>12247206.806111395</v>
      </c>
      <c r="N13" s="116">
        <f t="shared" si="4"/>
        <v>0</v>
      </c>
      <c r="O13" s="116">
        <f>SUM(N13:N$109)</f>
        <v>142.74497456122623</v>
      </c>
      <c r="P13" s="115">
        <f>SUM(O13:O$109)</f>
        <v>5666.3923115514081</v>
      </c>
      <c r="R13" s="120">
        <v>5</v>
      </c>
      <c r="S13" s="119">
        <f t="shared" si="11"/>
        <v>100000</v>
      </c>
      <c r="T13" s="119">
        <f t="shared" si="5"/>
        <v>0</v>
      </c>
      <c r="U13" s="118">
        <f t="shared" si="6"/>
        <v>0</v>
      </c>
      <c r="V13" s="117">
        <f t="shared" si="7"/>
        <v>1</v>
      </c>
      <c r="W13" s="116">
        <f t="shared" si="8"/>
        <v>68058.31970337528</v>
      </c>
      <c r="X13" s="116">
        <f>SUM(W13:W$109)</f>
        <v>916556.12052552006</v>
      </c>
      <c r="Y13" s="116">
        <f>SUM(X13:X$109)</f>
        <v>12253779.957752658</v>
      </c>
      <c r="Z13" s="116">
        <f t="shared" si="9"/>
        <v>0</v>
      </c>
      <c r="AA13" s="116">
        <f>SUM(Z13:Z$109)</f>
        <v>129.14196074012082</v>
      </c>
      <c r="AB13" s="115">
        <f>SUM(AA13:AA$109)</f>
        <v>5363.9338027145886</v>
      </c>
    </row>
    <row r="14" spans="2:28">
      <c r="B14" s="123">
        <v>6</v>
      </c>
      <c r="C14" s="149"/>
      <c r="D14" s="148"/>
      <c r="F14" s="120">
        <v>6</v>
      </c>
      <c r="G14" s="119">
        <f t="shared" si="10"/>
        <v>100000</v>
      </c>
      <c r="H14" s="119">
        <f t="shared" si="0"/>
        <v>0</v>
      </c>
      <c r="I14" s="121">
        <f t="shared" si="1"/>
        <v>0</v>
      </c>
      <c r="J14" s="117">
        <f t="shared" si="2"/>
        <v>1</v>
      </c>
      <c r="K14" s="116">
        <f t="shared" si="3"/>
        <v>63016.962688310443</v>
      </c>
      <c r="L14" s="116">
        <f>SUM(K14:K$109)</f>
        <v>848314.06228485319</v>
      </c>
      <c r="M14" s="116">
        <f>SUM(L14:L$109)</f>
        <v>11330834.424123166</v>
      </c>
      <c r="N14" s="116">
        <f t="shared" si="4"/>
        <v>0</v>
      </c>
      <c r="O14" s="116">
        <f>SUM(N14:N$109)</f>
        <v>142.74497456122623</v>
      </c>
      <c r="P14" s="115">
        <f>SUM(O14:O$109)</f>
        <v>5523.6473369901805</v>
      </c>
      <c r="R14" s="120">
        <v>6</v>
      </c>
      <c r="S14" s="119">
        <f t="shared" si="11"/>
        <v>100000</v>
      </c>
      <c r="T14" s="119">
        <f t="shared" si="5"/>
        <v>0</v>
      </c>
      <c r="U14" s="118">
        <f t="shared" si="6"/>
        <v>0</v>
      </c>
      <c r="V14" s="117">
        <f t="shared" si="7"/>
        <v>1</v>
      </c>
      <c r="W14" s="116">
        <f t="shared" si="8"/>
        <v>63016.962688310443</v>
      </c>
      <c r="X14" s="116">
        <f>SUM(W14:W$109)</f>
        <v>848497.80082214472</v>
      </c>
      <c r="Y14" s="116">
        <f>SUM(X14:X$109)</f>
        <v>11337223.837227136</v>
      </c>
      <c r="Z14" s="116">
        <f t="shared" si="9"/>
        <v>0</v>
      </c>
      <c r="AA14" s="116">
        <f>SUM(Z14:Z$109)</f>
        <v>129.14196074012082</v>
      </c>
      <c r="AB14" s="115">
        <f>SUM(AA14:AA$109)</f>
        <v>5234.7918419744683</v>
      </c>
    </row>
    <row r="15" spans="2:28">
      <c r="B15" s="123">
        <v>7</v>
      </c>
      <c r="C15" s="149"/>
      <c r="D15" s="148"/>
      <c r="F15" s="120">
        <v>7</v>
      </c>
      <c r="G15" s="119">
        <f t="shared" si="10"/>
        <v>100000</v>
      </c>
      <c r="H15" s="119">
        <f t="shared" si="0"/>
        <v>0</v>
      </c>
      <c r="I15" s="121">
        <f t="shared" si="1"/>
        <v>0</v>
      </c>
      <c r="J15" s="117">
        <f t="shared" si="2"/>
        <v>1</v>
      </c>
      <c r="K15" s="116">
        <f t="shared" si="3"/>
        <v>58349.039526213368</v>
      </c>
      <c r="L15" s="116">
        <f>SUM(K15:K$109)</f>
        <v>785297.09959654277</v>
      </c>
      <c r="M15" s="116">
        <f>SUM(L15:L$109)</f>
        <v>10482520.361838313</v>
      </c>
      <c r="N15" s="116">
        <f t="shared" si="4"/>
        <v>0</v>
      </c>
      <c r="O15" s="116">
        <f>SUM(N15:N$109)</f>
        <v>142.74497456122623</v>
      </c>
      <c r="P15" s="115">
        <f>SUM(O15:O$109)</f>
        <v>5380.9023624289539</v>
      </c>
      <c r="R15" s="120">
        <v>7</v>
      </c>
      <c r="S15" s="119">
        <f t="shared" si="11"/>
        <v>100000</v>
      </c>
      <c r="T15" s="119">
        <f t="shared" si="5"/>
        <v>0</v>
      </c>
      <c r="U15" s="118">
        <f t="shared" si="6"/>
        <v>0</v>
      </c>
      <c r="V15" s="117">
        <f t="shared" si="7"/>
        <v>1</v>
      </c>
      <c r="W15" s="116">
        <f t="shared" si="8"/>
        <v>58349.039526213368</v>
      </c>
      <c r="X15" s="116">
        <f>SUM(W15:W$109)</f>
        <v>785480.83813383442</v>
      </c>
      <c r="Y15" s="116">
        <f>SUM(X15:X$109)</f>
        <v>10488726.036404992</v>
      </c>
      <c r="Z15" s="116">
        <f t="shared" si="9"/>
        <v>0</v>
      </c>
      <c r="AA15" s="116">
        <f>SUM(Z15:Z$109)</f>
        <v>129.14196074012082</v>
      </c>
      <c r="AB15" s="115">
        <f>SUM(AA15:AA$109)</f>
        <v>5105.649881234347</v>
      </c>
    </row>
    <row r="16" spans="2:28">
      <c r="B16" s="123">
        <v>8</v>
      </c>
      <c r="C16" s="149"/>
      <c r="D16" s="148"/>
      <c r="F16" s="120">
        <v>8</v>
      </c>
      <c r="G16" s="119">
        <f t="shared" si="10"/>
        <v>100000</v>
      </c>
      <c r="H16" s="119">
        <f t="shared" si="0"/>
        <v>0</v>
      </c>
      <c r="I16" s="121">
        <f t="shared" si="1"/>
        <v>0</v>
      </c>
      <c r="J16" s="117">
        <f t="shared" si="2"/>
        <v>1</v>
      </c>
      <c r="K16" s="116">
        <f t="shared" si="3"/>
        <v>54026.888450197563</v>
      </c>
      <c r="L16" s="116">
        <f>SUM(K16:K$109)</f>
        <v>726948.06007032935</v>
      </c>
      <c r="M16" s="116">
        <f>SUM(L16:L$109)</f>
        <v>9697223.2622417696</v>
      </c>
      <c r="N16" s="116">
        <f t="shared" si="4"/>
        <v>0</v>
      </c>
      <c r="O16" s="116">
        <f>SUM(N16:N$109)</f>
        <v>142.74497456122623</v>
      </c>
      <c r="P16" s="115">
        <f>SUM(O16:O$109)</f>
        <v>5238.1573878677282</v>
      </c>
      <c r="R16" s="120">
        <v>8</v>
      </c>
      <c r="S16" s="119">
        <f t="shared" si="11"/>
        <v>100000</v>
      </c>
      <c r="T16" s="119">
        <f t="shared" si="5"/>
        <v>0</v>
      </c>
      <c r="U16" s="118">
        <f t="shared" si="6"/>
        <v>0</v>
      </c>
      <c r="V16" s="117">
        <f t="shared" si="7"/>
        <v>1</v>
      </c>
      <c r="W16" s="116">
        <f t="shared" si="8"/>
        <v>54026.888450197563</v>
      </c>
      <c r="X16" s="116">
        <f>SUM(W16:W$109)</f>
        <v>727131.79860762099</v>
      </c>
      <c r="Y16" s="116">
        <f>SUM(X16:X$109)</f>
        <v>9703245.1982711572</v>
      </c>
      <c r="Z16" s="116">
        <f t="shared" si="9"/>
        <v>0</v>
      </c>
      <c r="AA16" s="116">
        <f>SUM(Z16:Z$109)</f>
        <v>129.14196074012082</v>
      </c>
      <c r="AB16" s="115">
        <f>SUM(AA16:AA$109)</f>
        <v>4976.5079204942267</v>
      </c>
    </row>
    <row r="17" spans="2:28">
      <c r="B17" s="123">
        <v>9</v>
      </c>
      <c r="C17" s="149"/>
      <c r="D17" s="148"/>
      <c r="F17" s="120">
        <v>9</v>
      </c>
      <c r="G17" s="119">
        <f t="shared" si="10"/>
        <v>100000</v>
      </c>
      <c r="H17" s="119">
        <f t="shared" si="0"/>
        <v>0</v>
      </c>
      <c r="I17" s="121">
        <f t="shared" si="1"/>
        <v>0</v>
      </c>
      <c r="J17" s="117">
        <f t="shared" si="2"/>
        <v>1</v>
      </c>
      <c r="K17" s="116">
        <f t="shared" si="3"/>
        <v>50024.896713145885</v>
      </c>
      <c r="L17" s="116">
        <f>SUM(K17:K$109)</f>
        <v>672921.17162013182</v>
      </c>
      <c r="M17" s="116">
        <f>SUM(L17:L$109)</f>
        <v>8970275.2021714412</v>
      </c>
      <c r="N17" s="116">
        <f t="shared" si="4"/>
        <v>0</v>
      </c>
      <c r="O17" s="116">
        <f>SUM(N17:N$109)</f>
        <v>142.74497456122623</v>
      </c>
      <c r="P17" s="115">
        <f>SUM(O17:O$109)</f>
        <v>5095.4124133065025</v>
      </c>
      <c r="R17" s="120">
        <v>9</v>
      </c>
      <c r="S17" s="119">
        <f t="shared" si="11"/>
        <v>100000</v>
      </c>
      <c r="T17" s="119">
        <f t="shared" si="5"/>
        <v>0</v>
      </c>
      <c r="U17" s="118">
        <f t="shared" si="6"/>
        <v>0</v>
      </c>
      <c r="V17" s="117">
        <f t="shared" si="7"/>
        <v>1</v>
      </c>
      <c r="W17" s="116">
        <f t="shared" si="8"/>
        <v>50024.896713145885</v>
      </c>
      <c r="X17" s="116">
        <f>SUM(W17:W$109)</f>
        <v>673104.91015742347</v>
      </c>
      <c r="Y17" s="116">
        <f>SUM(X17:X$109)</f>
        <v>8976113.3996635322</v>
      </c>
      <c r="Z17" s="116">
        <f t="shared" si="9"/>
        <v>0</v>
      </c>
      <c r="AA17" s="116">
        <f>SUM(Z17:Z$109)</f>
        <v>129.14196074012082</v>
      </c>
      <c r="AB17" s="115">
        <f>SUM(AA17:AA$109)</f>
        <v>4847.3659597541046</v>
      </c>
    </row>
    <row r="18" spans="2:28">
      <c r="B18" s="123">
        <v>10</v>
      </c>
      <c r="C18" s="149"/>
      <c r="D18" s="148"/>
      <c r="F18" s="120">
        <v>10</v>
      </c>
      <c r="G18" s="119">
        <f t="shared" si="10"/>
        <v>100000</v>
      </c>
      <c r="H18" s="119">
        <f t="shared" si="0"/>
        <v>0</v>
      </c>
      <c r="I18" s="121">
        <f t="shared" si="1"/>
        <v>0</v>
      </c>
      <c r="J18" s="117">
        <f t="shared" si="2"/>
        <v>1</v>
      </c>
      <c r="K18" s="116">
        <f t="shared" si="3"/>
        <v>46319.348808468407</v>
      </c>
      <c r="L18" s="116">
        <f>SUM(K18:K$109)</f>
        <v>622896.27490698593</v>
      </c>
      <c r="M18" s="116">
        <f>SUM(L18:L$109)</f>
        <v>8297354.030551305</v>
      </c>
      <c r="N18" s="116">
        <f t="shared" si="4"/>
        <v>0</v>
      </c>
      <c r="O18" s="116">
        <f>SUM(N18:N$109)</f>
        <v>142.74497456122623</v>
      </c>
      <c r="P18" s="115">
        <f>SUM(O18:O$109)</f>
        <v>4952.6674387452758</v>
      </c>
      <c r="R18" s="120">
        <v>10</v>
      </c>
      <c r="S18" s="119">
        <f t="shared" si="11"/>
        <v>100000</v>
      </c>
      <c r="T18" s="119">
        <f t="shared" si="5"/>
        <v>0</v>
      </c>
      <c r="U18" s="118">
        <f t="shared" si="6"/>
        <v>0</v>
      </c>
      <c r="V18" s="117">
        <f t="shared" si="7"/>
        <v>1</v>
      </c>
      <c r="W18" s="116">
        <f t="shared" si="8"/>
        <v>46319.348808468407</v>
      </c>
      <c r="X18" s="116">
        <f>SUM(W18:W$109)</f>
        <v>623080.01344427734</v>
      </c>
      <c r="Y18" s="116">
        <f>SUM(X18:X$109)</f>
        <v>8303008.4895061096</v>
      </c>
      <c r="Z18" s="116">
        <f t="shared" si="9"/>
        <v>0</v>
      </c>
      <c r="AA18" s="116">
        <f>SUM(Z18:Z$109)</f>
        <v>129.14196074012082</v>
      </c>
      <c r="AB18" s="115">
        <f>SUM(AA18:AA$109)</f>
        <v>4718.2239990139851</v>
      </c>
    </row>
    <row r="19" spans="2:28">
      <c r="B19" s="123">
        <v>11</v>
      </c>
      <c r="C19" s="149"/>
      <c r="D19" s="148"/>
      <c r="F19" s="120">
        <v>11</v>
      </c>
      <c r="G19" s="119">
        <f t="shared" si="10"/>
        <v>100000</v>
      </c>
      <c r="H19" s="119">
        <f t="shared" si="0"/>
        <v>0</v>
      </c>
      <c r="I19" s="121">
        <f t="shared" si="1"/>
        <v>0</v>
      </c>
      <c r="J19" s="117">
        <f t="shared" si="2"/>
        <v>1</v>
      </c>
      <c r="K19" s="116">
        <f t="shared" si="3"/>
        <v>42888.285933767038</v>
      </c>
      <c r="L19" s="116">
        <f>SUM(K19:K$109)</f>
        <v>576576.92609851761</v>
      </c>
      <c r="M19" s="116">
        <f>SUM(L19:L$109)</f>
        <v>7674457.7556443186</v>
      </c>
      <c r="N19" s="116">
        <f t="shared" si="4"/>
        <v>0</v>
      </c>
      <c r="O19" s="116">
        <f>SUM(N19:N$109)</f>
        <v>142.74497456122623</v>
      </c>
      <c r="P19" s="115">
        <f>SUM(O19:O$109)</f>
        <v>4809.9224641840501</v>
      </c>
      <c r="R19" s="120">
        <v>11</v>
      </c>
      <c r="S19" s="119">
        <f t="shared" si="11"/>
        <v>100000</v>
      </c>
      <c r="T19" s="119">
        <f t="shared" si="5"/>
        <v>0</v>
      </c>
      <c r="U19" s="118">
        <f t="shared" si="6"/>
        <v>0</v>
      </c>
      <c r="V19" s="117">
        <f t="shared" si="7"/>
        <v>1</v>
      </c>
      <c r="W19" s="116">
        <f t="shared" si="8"/>
        <v>42888.285933767038</v>
      </c>
      <c r="X19" s="116">
        <f>SUM(W19:W$109)</f>
        <v>576760.66463580879</v>
      </c>
      <c r="Y19" s="116">
        <f>SUM(X19:X$109)</f>
        <v>7679928.4760618331</v>
      </c>
      <c r="Z19" s="116">
        <f t="shared" si="9"/>
        <v>0</v>
      </c>
      <c r="AA19" s="116">
        <f>SUM(Z19:Z$109)</f>
        <v>129.14196074012082</v>
      </c>
      <c r="AB19" s="115">
        <f>SUM(AA19:AA$109)</f>
        <v>4589.0820382738639</v>
      </c>
    </row>
    <row r="20" spans="2:28">
      <c r="B20" s="123">
        <v>12</v>
      </c>
      <c r="C20" s="149"/>
      <c r="D20" s="148"/>
      <c r="F20" s="120">
        <v>12</v>
      </c>
      <c r="G20" s="119">
        <f t="shared" si="10"/>
        <v>100000</v>
      </c>
      <c r="H20" s="119">
        <f t="shared" si="0"/>
        <v>0</v>
      </c>
      <c r="I20" s="121">
        <f t="shared" si="1"/>
        <v>0</v>
      </c>
      <c r="J20" s="117">
        <f t="shared" si="2"/>
        <v>1</v>
      </c>
      <c r="K20" s="116">
        <f t="shared" si="3"/>
        <v>39711.375864599111</v>
      </c>
      <c r="L20" s="116">
        <f>SUM(K20:K$109)</f>
        <v>533688.64016475051</v>
      </c>
      <c r="M20" s="116">
        <f>SUM(L20:L$109)</f>
        <v>7097880.8295457996</v>
      </c>
      <c r="N20" s="116">
        <f t="shared" si="4"/>
        <v>0</v>
      </c>
      <c r="O20" s="116">
        <f>SUM(N20:N$109)</f>
        <v>142.74497456122623</v>
      </c>
      <c r="P20" s="115">
        <f>SUM(O20:O$109)</f>
        <v>4667.1774896228244</v>
      </c>
      <c r="R20" s="120">
        <v>12</v>
      </c>
      <c r="S20" s="119">
        <f t="shared" si="11"/>
        <v>100000</v>
      </c>
      <c r="T20" s="119">
        <f t="shared" si="5"/>
        <v>0</v>
      </c>
      <c r="U20" s="118">
        <f t="shared" si="6"/>
        <v>0</v>
      </c>
      <c r="V20" s="117">
        <f t="shared" si="7"/>
        <v>1</v>
      </c>
      <c r="W20" s="116">
        <f t="shared" si="8"/>
        <v>39711.375864599111</v>
      </c>
      <c r="X20" s="116">
        <f>SUM(W20:W$109)</f>
        <v>533872.37870204204</v>
      </c>
      <c r="Y20" s="116">
        <f>SUM(X20:X$109)</f>
        <v>7103167.8114260258</v>
      </c>
      <c r="Z20" s="116">
        <f t="shared" si="9"/>
        <v>0</v>
      </c>
      <c r="AA20" s="116">
        <f>SUM(Z20:Z$109)</f>
        <v>129.14196074012082</v>
      </c>
      <c r="AB20" s="115">
        <f>SUM(AA20:AA$109)</f>
        <v>4459.9400775337426</v>
      </c>
    </row>
    <row r="21" spans="2:28">
      <c r="B21" s="123">
        <v>13</v>
      </c>
      <c r="C21" s="149"/>
      <c r="D21" s="148"/>
      <c r="F21" s="120">
        <v>13</v>
      </c>
      <c r="G21" s="119">
        <f t="shared" si="10"/>
        <v>100000</v>
      </c>
      <c r="H21" s="119">
        <f t="shared" si="0"/>
        <v>0</v>
      </c>
      <c r="I21" s="121">
        <f t="shared" si="1"/>
        <v>0</v>
      </c>
      <c r="J21" s="117">
        <f t="shared" si="2"/>
        <v>1</v>
      </c>
      <c r="K21" s="116">
        <f t="shared" si="3"/>
        <v>36769.792467221392</v>
      </c>
      <c r="L21" s="116">
        <f>SUM(K21:K$109)</f>
        <v>493977.26430015161</v>
      </c>
      <c r="M21" s="116">
        <f>SUM(L21:L$109)</f>
        <v>6564192.1893810499</v>
      </c>
      <c r="N21" s="116">
        <f t="shared" si="4"/>
        <v>0</v>
      </c>
      <c r="O21" s="116">
        <f>SUM(N21:N$109)</f>
        <v>142.74497456122623</v>
      </c>
      <c r="P21" s="115">
        <f>SUM(O21:O$109)</f>
        <v>4524.4325150615987</v>
      </c>
      <c r="R21" s="120">
        <v>13</v>
      </c>
      <c r="S21" s="119">
        <f t="shared" si="11"/>
        <v>100000</v>
      </c>
      <c r="T21" s="119">
        <f t="shared" si="5"/>
        <v>0</v>
      </c>
      <c r="U21" s="118">
        <f t="shared" si="6"/>
        <v>0</v>
      </c>
      <c r="V21" s="117">
        <f t="shared" si="7"/>
        <v>1</v>
      </c>
      <c r="W21" s="116">
        <f t="shared" si="8"/>
        <v>36769.792467221392</v>
      </c>
      <c r="X21" s="116">
        <f>SUM(W21:W$109)</f>
        <v>494161.00283744314</v>
      </c>
      <c r="Y21" s="116">
        <f>SUM(X21:X$109)</f>
        <v>6569295.4327239832</v>
      </c>
      <c r="Z21" s="116">
        <f t="shared" si="9"/>
        <v>0</v>
      </c>
      <c r="AA21" s="116">
        <f>SUM(Z21:Z$109)</f>
        <v>129.14196074012082</v>
      </c>
      <c r="AB21" s="115">
        <f>SUM(AA21:AA$109)</f>
        <v>4330.7981167936223</v>
      </c>
    </row>
    <row r="22" spans="2:28">
      <c r="B22" s="123">
        <v>14</v>
      </c>
      <c r="C22" s="149"/>
      <c r="D22" s="148"/>
      <c r="F22" s="120">
        <v>14</v>
      </c>
      <c r="G22" s="119">
        <f t="shared" si="10"/>
        <v>100000</v>
      </c>
      <c r="H22" s="119">
        <f t="shared" si="0"/>
        <v>0</v>
      </c>
      <c r="I22" s="121">
        <f t="shared" si="1"/>
        <v>0</v>
      </c>
      <c r="J22" s="117">
        <f t="shared" si="2"/>
        <v>1</v>
      </c>
      <c r="K22" s="116">
        <f t="shared" si="3"/>
        <v>34046.104136316106</v>
      </c>
      <c r="L22" s="116">
        <f>SUM(K22:K$109)</f>
        <v>457207.47183293029</v>
      </c>
      <c r="M22" s="116">
        <f>SUM(L22:L$109)</f>
        <v>6070214.9250808982</v>
      </c>
      <c r="N22" s="116">
        <f t="shared" si="4"/>
        <v>0</v>
      </c>
      <c r="O22" s="116">
        <f>SUM(N22:N$109)</f>
        <v>142.74497456122623</v>
      </c>
      <c r="P22" s="115">
        <f>SUM(O22:O$109)</f>
        <v>4381.687540500373</v>
      </c>
      <c r="R22" s="120">
        <v>14</v>
      </c>
      <c r="S22" s="119">
        <f t="shared" si="11"/>
        <v>100000</v>
      </c>
      <c r="T22" s="119">
        <f t="shared" si="5"/>
        <v>0</v>
      </c>
      <c r="U22" s="118">
        <f t="shared" si="6"/>
        <v>0</v>
      </c>
      <c r="V22" s="117">
        <f t="shared" si="7"/>
        <v>1</v>
      </c>
      <c r="W22" s="116">
        <f t="shared" si="8"/>
        <v>34046.104136316106</v>
      </c>
      <c r="X22" s="116">
        <f>SUM(W22:W$109)</f>
        <v>457391.21037022176</v>
      </c>
      <c r="Y22" s="116">
        <f>SUM(X22:X$109)</f>
        <v>6075134.4298865395</v>
      </c>
      <c r="Z22" s="116">
        <f t="shared" si="9"/>
        <v>0</v>
      </c>
      <c r="AA22" s="116">
        <f>SUM(Z22:Z$109)</f>
        <v>129.14196074012082</v>
      </c>
      <c r="AB22" s="115">
        <f>SUM(AA22:AA$109)</f>
        <v>4201.656156053501</v>
      </c>
    </row>
    <row r="23" spans="2:28">
      <c r="B23" s="123">
        <v>15</v>
      </c>
      <c r="C23" s="149"/>
      <c r="D23" s="148"/>
      <c r="F23" s="120">
        <v>15</v>
      </c>
      <c r="G23" s="119">
        <f t="shared" si="10"/>
        <v>100000</v>
      </c>
      <c r="H23" s="119">
        <f t="shared" si="0"/>
        <v>0</v>
      </c>
      <c r="I23" s="121">
        <f t="shared" si="1"/>
        <v>0</v>
      </c>
      <c r="J23" s="117">
        <f t="shared" si="2"/>
        <v>1</v>
      </c>
      <c r="K23" s="116">
        <f t="shared" si="3"/>
        <v>31524.170496588977</v>
      </c>
      <c r="L23" s="116">
        <f>SUM(K23:K$109)</f>
        <v>423161.36769661418</v>
      </c>
      <c r="M23" s="116">
        <f>SUM(L23:L$109)</f>
        <v>5613007.4532479681</v>
      </c>
      <c r="N23" s="116">
        <f t="shared" si="4"/>
        <v>0</v>
      </c>
      <c r="O23" s="116">
        <f>SUM(N23:N$109)</f>
        <v>142.74497456122623</v>
      </c>
      <c r="P23" s="115">
        <f>SUM(O23:O$109)</f>
        <v>4238.9425659391454</v>
      </c>
      <c r="R23" s="120">
        <v>15</v>
      </c>
      <c r="S23" s="119">
        <f t="shared" si="11"/>
        <v>100000</v>
      </c>
      <c r="T23" s="119">
        <f t="shared" si="5"/>
        <v>0</v>
      </c>
      <c r="U23" s="118">
        <f t="shared" si="6"/>
        <v>0</v>
      </c>
      <c r="V23" s="117">
        <f t="shared" si="7"/>
        <v>1</v>
      </c>
      <c r="W23" s="116">
        <f t="shared" si="8"/>
        <v>31524.170496588977</v>
      </c>
      <c r="X23" s="116">
        <f>SUM(W23:W$109)</f>
        <v>423345.10623390565</v>
      </c>
      <c r="Y23" s="116">
        <f>SUM(X23:X$109)</f>
        <v>5617743.2195163192</v>
      </c>
      <c r="Z23" s="116">
        <f t="shared" si="9"/>
        <v>0</v>
      </c>
      <c r="AA23" s="116">
        <f>SUM(Z23:Z$109)</f>
        <v>129.14196074012082</v>
      </c>
      <c r="AB23" s="115">
        <f>SUM(AA23:AA$109)</f>
        <v>4072.5141953133812</v>
      </c>
    </row>
    <row r="24" spans="2:28">
      <c r="B24" s="123">
        <v>16</v>
      </c>
      <c r="C24" s="149"/>
      <c r="D24" s="148"/>
      <c r="F24" s="120">
        <v>16</v>
      </c>
      <c r="G24" s="119">
        <f t="shared" si="10"/>
        <v>100000</v>
      </c>
      <c r="H24" s="119">
        <f t="shared" si="0"/>
        <v>0</v>
      </c>
      <c r="I24" s="121">
        <f t="shared" si="1"/>
        <v>0</v>
      </c>
      <c r="J24" s="117">
        <f t="shared" si="2"/>
        <v>1</v>
      </c>
      <c r="K24" s="116">
        <f t="shared" si="3"/>
        <v>29189.046756100906</v>
      </c>
      <c r="L24" s="116">
        <f>SUM(K24:K$109)</f>
        <v>391637.19720002514</v>
      </c>
      <c r="M24" s="116">
        <f>SUM(L24:L$109)</f>
        <v>5189846.0855513532</v>
      </c>
      <c r="N24" s="116">
        <f t="shared" si="4"/>
        <v>0</v>
      </c>
      <c r="O24" s="116">
        <f>SUM(N24:N$109)</f>
        <v>142.74497456122623</v>
      </c>
      <c r="P24" s="115">
        <f>SUM(O24:O$109)</f>
        <v>4096.1975913779197</v>
      </c>
      <c r="R24" s="120">
        <v>16</v>
      </c>
      <c r="S24" s="119">
        <f t="shared" si="11"/>
        <v>100000</v>
      </c>
      <c r="T24" s="119">
        <f t="shared" si="5"/>
        <v>0</v>
      </c>
      <c r="U24" s="118">
        <f t="shared" si="6"/>
        <v>0</v>
      </c>
      <c r="V24" s="117">
        <f t="shared" si="7"/>
        <v>1</v>
      </c>
      <c r="W24" s="116">
        <f t="shared" si="8"/>
        <v>29189.046756100906</v>
      </c>
      <c r="X24" s="116">
        <f>SUM(W24:W$109)</f>
        <v>391820.93573731673</v>
      </c>
      <c r="Y24" s="116">
        <f>SUM(X24:X$109)</f>
        <v>5194398.1132824142</v>
      </c>
      <c r="Z24" s="116">
        <f t="shared" si="9"/>
        <v>0</v>
      </c>
      <c r="AA24" s="116">
        <f>SUM(Z24:Z$109)</f>
        <v>129.14196074012082</v>
      </c>
      <c r="AB24" s="115">
        <f>SUM(AA24:AA$109)</f>
        <v>3943.3722345732604</v>
      </c>
    </row>
    <row r="25" spans="2:28">
      <c r="B25" s="123">
        <v>17</v>
      </c>
      <c r="C25" s="149"/>
      <c r="D25" s="148"/>
      <c r="F25" s="120">
        <v>17</v>
      </c>
      <c r="G25" s="119">
        <f t="shared" si="10"/>
        <v>100000</v>
      </c>
      <c r="H25" s="119">
        <f t="shared" si="0"/>
        <v>0</v>
      </c>
      <c r="I25" s="121">
        <f t="shared" si="1"/>
        <v>0</v>
      </c>
      <c r="J25" s="117">
        <f t="shared" si="2"/>
        <v>1</v>
      </c>
      <c r="K25" s="116">
        <f t="shared" si="3"/>
        <v>27026.89514453787</v>
      </c>
      <c r="L25" s="116">
        <f>SUM(K25:K$109)</f>
        <v>362448.1504439243</v>
      </c>
      <c r="M25" s="116">
        <f>SUM(L25:L$109)</f>
        <v>4798208.8883513287</v>
      </c>
      <c r="N25" s="116">
        <f t="shared" si="4"/>
        <v>0</v>
      </c>
      <c r="O25" s="116">
        <f>SUM(N25:N$109)</f>
        <v>142.74497456122623</v>
      </c>
      <c r="P25" s="115">
        <f>SUM(O25:O$109)</f>
        <v>3953.4526168166931</v>
      </c>
      <c r="R25" s="120">
        <v>17</v>
      </c>
      <c r="S25" s="119">
        <f t="shared" si="11"/>
        <v>100000</v>
      </c>
      <c r="T25" s="119">
        <f t="shared" si="5"/>
        <v>0</v>
      </c>
      <c r="U25" s="118">
        <f t="shared" si="6"/>
        <v>0</v>
      </c>
      <c r="V25" s="117">
        <f t="shared" si="7"/>
        <v>1</v>
      </c>
      <c r="W25" s="116">
        <f t="shared" si="8"/>
        <v>27026.89514453787</v>
      </c>
      <c r="X25" s="116">
        <f>SUM(W25:W$109)</f>
        <v>362631.88898121589</v>
      </c>
      <c r="Y25" s="116">
        <f>SUM(X25:X$109)</f>
        <v>4802577.1775450977</v>
      </c>
      <c r="Z25" s="116">
        <f t="shared" si="9"/>
        <v>0</v>
      </c>
      <c r="AA25" s="116">
        <f>SUM(Z25:Z$109)</f>
        <v>129.14196074012082</v>
      </c>
      <c r="AB25" s="115">
        <f>SUM(AA25:AA$109)</f>
        <v>3814.2302738331396</v>
      </c>
    </row>
    <row r="26" spans="2:28">
      <c r="B26" s="123">
        <v>18</v>
      </c>
      <c r="C26" s="147">
        <v>1.6941176470588234E-4</v>
      </c>
      <c r="D26" s="146">
        <v>1.2705882352941175E-4</v>
      </c>
      <c r="F26" s="120">
        <v>18</v>
      </c>
      <c r="G26" s="119">
        <f t="shared" si="10"/>
        <v>100000</v>
      </c>
      <c r="H26" s="119">
        <f t="shared" si="0"/>
        <v>16.941176470588236</v>
      </c>
      <c r="I26" s="121">
        <f t="shared" si="1"/>
        <v>1.6941176470588234E-4</v>
      </c>
      <c r="J26" s="117">
        <f t="shared" si="2"/>
        <v>0.99983058823529414</v>
      </c>
      <c r="K26" s="116">
        <f t="shared" si="3"/>
        <v>25024.902911609137</v>
      </c>
      <c r="L26" s="116">
        <f>SUM(K26:K$109)</f>
        <v>335421.25529938645</v>
      </c>
      <c r="M26" s="116">
        <f>SUM(L26:L$109)</f>
        <v>4435760.7379074041</v>
      </c>
      <c r="N26" s="116">
        <f t="shared" si="4"/>
        <v>3.9254749665269233</v>
      </c>
      <c r="O26" s="116">
        <f>SUM(N26:N$109)</f>
        <v>142.74497456122623</v>
      </c>
      <c r="P26" s="115">
        <f>SUM(O26:O$109)</f>
        <v>3810.7076422554674</v>
      </c>
      <c r="R26" s="120">
        <v>18</v>
      </c>
      <c r="S26" s="119">
        <f t="shared" si="11"/>
        <v>100000</v>
      </c>
      <c r="T26" s="119">
        <f t="shared" si="5"/>
        <v>12.705882352941176</v>
      </c>
      <c r="U26" s="118">
        <f t="shared" si="6"/>
        <v>1.2705882352941175E-4</v>
      </c>
      <c r="V26" s="117">
        <f t="shared" si="7"/>
        <v>0.99987294117647063</v>
      </c>
      <c r="W26" s="116">
        <f t="shared" si="8"/>
        <v>25024.902911609137</v>
      </c>
      <c r="X26" s="116">
        <f>SUM(W26:W$109)</f>
        <v>335604.99383667798</v>
      </c>
      <c r="Y26" s="116">
        <f>SUM(X26:X$109)</f>
        <v>4439945.2885638811</v>
      </c>
      <c r="Z26" s="116">
        <f t="shared" si="9"/>
        <v>2.9441062248951924</v>
      </c>
      <c r="AA26" s="116">
        <f>SUM(Z26:Z$109)</f>
        <v>129.14196074012082</v>
      </c>
      <c r="AB26" s="115">
        <f>SUM(AA26:AA$109)</f>
        <v>3685.0883130930179</v>
      </c>
    </row>
    <row r="27" spans="2:28">
      <c r="B27" s="123">
        <v>19</v>
      </c>
      <c r="C27" s="147">
        <v>1.6941176470588234E-4</v>
      </c>
      <c r="D27" s="146">
        <v>1.2705882352941175E-4</v>
      </c>
      <c r="F27" s="120">
        <v>19</v>
      </c>
      <c r="G27" s="119">
        <f t="shared" si="10"/>
        <v>99983.058823529413</v>
      </c>
      <c r="H27" s="119">
        <f t="shared" si="0"/>
        <v>16.938306435986156</v>
      </c>
      <c r="I27" s="121">
        <f t="shared" si="1"/>
        <v>1.6941176470588234E-4</v>
      </c>
      <c r="J27" s="117">
        <f t="shared" si="2"/>
        <v>0.99983058823529414</v>
      </c>
      <c r="K27" s="116">
        <f t="shared" si="3"/>
        <v>23167.280924671562</v>
      </c>
      <c r="L27" s="116">
        <f>SUM(K27:K$109)</f>
        <v>310396.3523877773</v>
      </c>
      <c r="M27" s="116">
        <f>SUM(L27:L$109)</f>
        <v>4100339.4826080166</v>
      </c>
      <c r="N27" s="116">
        <f t="shared" si="4"/>
        <v>3.6340832823014213</v>
      </c>
      <c r="O27" s="116">
        <f>SUM(N27:N$109)</f>
        <v>138.81949959469927</v>
      </c>
      <c r="P27" s="115">
        <f>SUM(O27:O$109)</f>
        <v>3667.9626676942412</v>
      </c>
      <c r="R27" s="120">
        <v>19</v>
      </c>
      <c r="S27" s="119">
        <f t="shared" si="11"/>
        <v>99987.294117647063</v>
      </c>
      <c r="T27" s="119">
        <f t="shared" si="5"/>
        <v>12.704267958477509</v>
      </c>
      <c r="U27" s="118">
        <f t="shared" si="6"/>
        <v>1.2705882352941175E-4</v>
      </c>
      <c r="V27" s="117">
        <f t="shared" si="7"/>
        <v>0.99987294117647063</v>
      </c>
      <c r="W27" s="116">
        <f t="shared" si="8"/>
        <v>23168.262293413194</v>
      </c>
      <c r="X27" s="116">
        <f>SUM(W27:W$109)</f>
        <v>310580.09092506883</v>
      </c>
      <c r="Y27" s="116">
        <f>SUM(X27:X$109)</f>
        <v>4104340.2947272011</v>
      </c>
      <c r="Z27" s="116">
        <f t="shared" si="9"/>
        <v>2.7256779168721406</v>
      </c>
      <c r="AA27" s="116">
        <f>SUM(Z27:Z$109)</f>
        <v>126.19785451522563</v>
      </c>
      <c r="AB27" s="115">
        <f>SUM(AA27:AA$109)</f>
        <v>3555.9463523528971</v>
      </c>
    </row>
    <row r="28" spans="2:28">
      <c r="B28" s="123">
        <v>20</v>
      </c>
      <c r="C28" s="147">
        <v>1.6941176470588234E-4</v>
      </c>
      <c r="D28" s="146">
        <v>1.2705882352941175E-4</v>
      </c>
      <c r="F28" s="120">
        <v>20</v>
      </c>
      <c r="G28" s="119">
        <f t="shared" si="10"/>
        <v>99966.120517093426</v>
      </c>
      <c r="H28" s="119">
        <f t="shared" si="0"/>
        <v>16.935436887601707</v>
      </c>
      <c r="I28" s="121">
        <f t="shared" si="1"/>
        <v>1.6941176470588234E-4</v>
      </c>
      <c r="J28" s="117">
        <f t="shared" si="2"/>
        <v>0.99983058823529414</v>
      </c>
      <c r="K28" s="116">
        <f t="shared" si="3"/>
        <v>21447.551958080257</v>
      </c>
      <c r="L28" s="116">
        <f>SUM(K28:K$109)</f>
        <v>287229.07146310573</v>
      </c>
      <c r="M28" s="116">
        <f>SUM(L28:L$109)</f>
        <v>3789943.1302202395</v>
      </c>
      <c r="N28" s="116">
        <f t="shared" si="4"/>
        <v>3.3643218757772937</v>
      </c>
      <c r="O28" s="116">
        <f>SUM(N28:N$109)</f>
        <v>135.18541631239788</v>
      </c>
      <c r="P28" s="115">
        <f>SUM(O28:O$109)</f>
        <v>3529.143168099542</v>
      </c>
      <c r="R28" s="120">
        <v>20</v>
      </c>
      <c r="S28" s="119">
        <f t="shared" si="11"/>
        <v>99974.589849688578</v>
      </c>
      <c r="T28" s="119">
        <f t="shared" si="5"/>
        <v>12.702653769136901</v>
      </c>
      <c r="U28" s="118">
        <f t="shared" si="6"/>
        <v>1.2705882352941175E-4</v>
      </c>
      <c r="V28" s="117">
        <f t="shared" si="7"/>
        <v>0.99987294117647063</v>
      </c>
      <c r="W28" s="116">
        <f t="shared" si="8"/>
        <v>21449.369038206456</v>
      </c>
      <c r="X28" s="116">
        <f>SUM(W28:W$109)</f>
        <v>287411.82863165549</v>
      </c>
      <c r="Y28" s="116">
        <f>SUM(X28:X$109)</f>
        <v>3793760.203802132</v>
      </c>
      <c r="Z28" s="116">
        <f t="shared" si="9"/>
        <v>2.5234551809654646</v>
      </c>
      <c r="AA28" s="116">
        <f>SUM(Z28:Z$109)</f>
        <v>123.4721765983535</v>
      </c>
      <c r="AB28" s="115">
        <f>SUM(AA28:AA$109)</f>
        <v>3429.7484978376715</v>
      </c>
    </row>
    <row r="29" spans="2:28">
      <c r="B29" s="123">
        <v>21</v>
      </c>
      <c r="C29" s="147">
        <v>1.6941176470588234E-4</v>
      </c>
      <c r="D29" s="146">
        <v>1.2705882352941175E-4</v>
      </c>
      <c r="F29" s="120">
        <v>21</v>
      </c>
      <c r="G29" s="119">
        <f t="shared" si="10"/>
        <v>99949.185080205818</v>
      </c>
      <c r="H29" s="119">
        <f t="shared" si="0"/>
        <v>16.932567825352514</v>
      </c>
      <c r="I29" s="121">
        <f t="shared" si="1"/>
        <v>1.6941176470588234E-4</v>
      </c>
      <c r="J29" s="117">
        <f t="shared" si="2"/>
        <v>0.99983058823529414</v>
      </c>
      <c r="K29" s="116">
        <f t="shared" si="3"/>
        <v>19855.480083754086</v>
      </c>
      <c r="L29" s="116">
        <f>SUM(K29:K$109)</f>
        <v>265781.51950502535</v>
      </c>
      <c r="M29" s="116">
        <f>SUM(L29:L$109)</f>
        <v>3502714.0587571342</v>
      </c>
      <c r="N29" s="116">
        <f t="shared" si="4"/>
        <v>3.114585111177111</v>
      </c>
      <c r="O29" s="116">
        <f>SUM(N29:N$109)</f>
        <v>131.82109443662057</v>
      </c>
      <c r="P29" s="115">
        <f>SUM(O29:O$109)</f>
        <v>3393.9577517871444</v>
      </c>
      <c r="R29" s="120">
        <v>21</v>
      </c>
      <c r="S29" s="119">
        <f t="shared" si="11"/>
        <v>99961.887195919437</v>
      </c>
      <c r="T29" s="119">
        <f t="shared" si="5"/>
        <v>12.701039784893291</v>
      </c>
      <c r="U29" s="118">
        <f t="shared" si="6"/>
        <v>1.2705882352941175E-4</v>
      </c>
      <c r="V29" s="117">
        <f t="shared" si="7"/>
        <v>0.99987294117647063</v>
      </c>
      <c r="W29" s="116">
        <f t="shared" si="8"/>
        <v>19858.00343204723</v>
      </c>
      <c r="X29" s="116">
        <f>SUM(W29:W$109)</f>
        <v>265962.45959344896</v>
      </c>
      <c r="Y29" s="116">
        <f>SUM(X29:X$109)</f>
        <v>3506348.3751704767</v>
      </c>
      <c r="Z29" s="116">
        <f t="shared" si="9"/>
        <v>2.3362356978879086</v>
      </c>
      <c r="AA29" s="116">
        <f>SUM(Z29:Z$109)</f>
        <v>120.94872141738803</v>
      </c>
      <c r="AB29" s="115">
        <f>SUM(AA29:AA$109)</f>
        <v>3306.2763212393179</v>
      </c>
    </row>
    <row r="30" spans="2:28">
      <c r="B30" s="123">
        <v>22</v>
      </c>
      <c r="C30" s="147">
        <v>1.6941176470588234E-4</v>
      </c>
      <c r="D30" s="146">
        <v>1.2705882352941175E-4</v>
      </c>
      <c r="F30" s="120">
        <v>22</v>
      </c>
      <c r="G30" s="119">
        <f t="shared" si="10"/>
        <v>99932.252512380466</v>
      </c>
      <c r="H30" s="119">
        <f t="shared" si="0"/>
        <v>16.929699249156219</v>
      </c>
      <c r="I30" s="121">
        <f t="shared" si="1"/>
        <v>1.6941176470588234E-4</v>
      </c>
      <c r="J30" s="117">
        <f t="shared" si="2"/>
        <v>0.99983058823529414</v>
      </c>
      <c r="K30" s="116">
        <f t="shared" si="3"/>
        <v>18381.589196142602</v>
      </c>
      <c r="L30" s="116">
        <f>SUM(K30:K$109)</f>
        <v>245926.03942127124</v>
      </c>
      <c r="M30" s="116">
        <f>SUM(L30:L$109)</f>
        <v>3236932.5392521089</v>
      </c>
      <c r="N30" s="116">
        <f t="shared" si="4"/>
        <v>2.8833865405713883</v>
      </c>
      <c r="O30" s="116">
        <f>SUM(N30:N$109)</f>
        <v>128.70650932544345</v>
      </c>
      <c r="P30" s="115">
        <f>SUM(O30:O$109)</f>
        <v>3262.1366573505238</v>
      </c>
      <c r="R30" s="120">
        <v>22</v>
      </c>
      <c r="S30" s="119">
        <f t="shared" si="11"/>
        <v>99949.186156134543</v>
      </c>
      <c r="T30" s="119">
        <f t="shared" si="5"/>
        <v>12.699426005720623</v>
      </c>
      <c r="U30" s="118">
        <f t="shared" si="6"/>
        <v>1.2705882352941175E-4</v>
      </c>
      <c r="V30" s="117">
        <f t="shared" si="7"/>
        <v>0.99987294117647063</v>
      </c>
      <c r="W30" s="116">
        <f t="shared" si="8"/>
        <v>18384.703979160655</v>
      </c>
      <c r="X30" s="116">
        <f>SUM(W30:W$109)</f>
        <v>246104.45616140167</v>
      </c>
      <c r="Y30" s="116">
        <f>SUM(X30:X$109)</f>
        <v>3240385.9155770279</v>
      </c>
      <c r="Z30" s="116">
        <f t="shared" si="9"/>
        <v>2.1629063504894885</v>
      </c>
      <c r="AA30" s="116">
        <f>SUM(Z30:Z$109)</f>
        <v>118.61248571950011</v>
      </c>
      <c r="AB30" s="115">
        <f>SUM(AA30:AA$109)</f>
        <v>3185.3275998219297</v>
      </c>
    </row>
    <row r="31" spans="2:28">
      <c r="B31" s="123">
        <v>23</v>
      </c>
      <c r="C31" s="147">
        <v>1.6941176470588234E-4</v>
      </c>
      <c r="D31" s="146">
        <v>1.2705882352941175E-4</v>
      </c>
      <c r="F31" s="120">
        <v>23</v>
      </c>
      <c r="G31" s="119">
        <f t="shared" si="10"/>
        <v>99915.322813131308</v>
      </c>
      <c r="H31" s="119">
        <f t="shared" si="0"/>
        <v>16.926831158930479</v>
      </c>
      <c r="I31" s="121">
        <f t="shared" si="1"/>
        <v>1.6941176470588234E-4</v>
      </c>
      <c r="J31" s="117">
        <f t="shared" si="2"/>
        <v>0.99983058823529414</v>
      </c>
      <c r="K31" s="116">
        <f t="shared" si="3"/>
        <v>17017.106609887764</v>
      </c>
      <c r="L31" s="116">
        <f>SUM(K31:K$109)</f>
        <v>227544.45022512862</v>
      </c>
      <c r="M31" s="116">
        <f>SUM(L31:L$109)</f>
        <v>2991006.4998308374</v>
      </c>
      <c r="N31" s="116">
        <f t="shared" si="4"/>
        <v>2.6693500564529824</v>
      </c>
      <c r="O31" s="116">
        <f>SUM(N31:N$109)</f>
        <v>125.82312278487207</v>
      </c>
      <c r="P31" s="115">
        <f>SUM(O31:O$109)</f>
        <v>3133.4301480250801</v>
      </c>
      <c r="R31" s="120">
        <v>23</v>
      </c>
      <c r="S31" s="119">
        <f t="shared" si="11"/>
        <v>99936.486730128818</v>
      </c>
      <c r="T31" s="119">
        <f t="shared" si="5"/>
        <v>12.697812431592837</v>
      </c>
      <c r="U31" s="118">
        <f t="shared" si="6"/>
        <v>1.2705882352941175E-4</v>
      </c>
      <c r="V31" s="117">
        <f t="shared" si="7"/>
        <v>0.99987294117647063</v>
      </c>
      <c r="W31" s="116">
        <f t="shared" si="8"/>
        <v>17020.711148427894</v>
      </c>
      <c r="X31" s="116">
        <f>SUM(W31:W$109)</f>
        <v>227719.75218224101</v>
      </c>
      <c r="Y31" s="116">
        <f>SUM(X31:X$109)</f>
        <v>2994281.4594156267</v>
      </c>
      <c r="Z31" s="116">
        <f t="shared" si="9"/>
        <v>2.0024366056973988</v>
      </c>
      <c r="AA31" s="116">
        <f>SUM(Z31:Z$109)</f>
        <v>116.44957936901064</v>
      </c>
      <c r="AB31" s="115">
        <f>SUM(AA31:AA$109)</f>
        <v>3066.7151141024297</v>
      </c>
    </row>
    <row r="32" spans="2:28">
      <c r="B32" s="123">
        <v>24</v>
      </c>
      <c r="C32" s="147">
        <v>1.6941176470588234E-4</v>
      </c>
      <c r="D32" s="146">
        <v>1.2705882352941175E-4</v>
      </c>
      <c r="F32" s="120">
        <v>24</v>
      </c>
      <c r="G32" s="119">
        <f t="shared" si="10"/>
        <v>99898.395981972382</v>
      </c>
      <c r="H32" s="119">
        <f t="shared" si="0"/>
        <v>16.923963554592966</v>
      </c>
      <c r="I32" s="121">
        <f t="shared" si="1"/>
        <v>1.6941176470588234E-4</v>
      </c>
      <c r="J32" s="117">
        <f t="shared" si="2"/>
        <v>0.99983058823529414</v>
      </c>
      <c r="K32" s="116">
        <f t="shared" si="3"/>
        <v>15753.91084428407</v>
      </c>
      <c r="L32" s="116">
        <f>SUM(K32:K$109)</f>
        <v>210527.34361524085</v>
      </c>
      <c r="M32" s="116">
        <f>SUM(L32:L$109)</f>
        <v>2763462.049605709</v>
      </c>
      <c r="N32" s="116">
        <f t="shared" si="4"/>
        <v>2.4712017010641669</v>
      </c>
      <c r="O32" s="116">
        <f>SUM(N32:N$109)</f>
        <v>123.15377272841907</v>
      </c>
      <c r="P32" s="115">
        <f>SUM(O32:O$109)</f>
        <v>3007.6070252402083</v>
      </c>
      <c r="R32" s="120">
        <v>24</v>
      </c>
      <c r="S32" s="119">
        <f t="shared" si="11"/>
        <v>99923.788917697224</v>
      </c>
      <c r="T32" s="119">
        <f t="shared" si="5"/>
        <v>12.696199062483881</v>
      </c>
      <c r="U32" s="118">
        <f t="shared" si="6"/>
        <v>1.2705882352941175E-4</v>
      </c>
      <c r="V32" s="117">
        <f t="shared" si="7"/>
        <v>0.99987294117647063</v>
      </c>
      <c r="W32" s="116">
        <f t="shared" si="8"/>
        <v>15757.915293420128</v>
      </c>
      <c r="X32" s="116">
        <f>SUM(W32:W$109)</f>
        <v>210699.04103381309</v>
      </c>
      <c r="Y32" s="116">
        <f>SUM(X32:X$109)</f>
        <v>2766561.7072333852</v>
      </c>
      <c r="Z32" s="116">
        <f t="shared" si="9"/>
        <v>1.8538723874611911</v>
      </c>
      <c r="AA32" s="116">
        <f>SUM(Z32:Z$109)</f>
        <v>114.44714276331324</v>
      </c>
      <c r="AB32" s="115">
        <f>SUM(AA32:AA$109)</f>
        <v>2950.2655347334194</v>
      </c>
    </row>
    <row r="33" spans="2:28">
      <c r="B33" s="123">
        <v>25</v>
      </c>
      <c r="C33" s="147">
        <v>1.6941176470588234E-4</v>
      </c>
      <c r="D33" s="146">
        <v>1.2705882352941175E-4</v>
      </c>
      <c r="F33" s="120">
        <v>25</v>
      </c>
      <c r="G33" s="119">
        <f t="shared" si="10"/>
        <v>99881.472018417786</v>
      </c>
      <c r="H33" s="119">
        <f t="shared" si="0"/>
        <v>16.921096436061365</v>
      </c>
      <c r="I33" s="121">
        <f t="shared" si="1"/>
        <v>1.6941176470588234E-4</v>
      </c>
      <c r="J33" s="117">
        <f t="shared" si="2"/>
        <v>0.99983058823529414</v>
      </c>
      <c r="K33" s="116">
        <f t="shared" si="3"/>
        <v>14584.483283747144</v>
      </c>
      <c r="L33" s="116">
        <f>SUM(K33:K$109)</f>
        <v>194773.4327709568</v>
      </c>
      <c r="M33" s="116">
        <f>SUM(L33:L$109)</f>
        <v>2552934.7059904677</v>
      </c>
      <c r="N33" s="116">
        <f t="shared" si="4"/>
        <v>2.2877620837250423</v>
      </c>
      <c r="O33" s="116">
        <f>SUM(N33:N$109)</f>
        <v>120.68257102735491</v>
      </c>
      <c r="P33" s="115">
        <f>SUM(O33:O$109)</f>
        <v>2884.4532525117888</v>
      </c>
      <c r="R33" s="120">
        <v>25</v>
      </c>
      <c r="S33" s="119">
        <f t="shared" si="11"/>
        <v>99911.09271863474</v>
      </c>
      <c r="T33" s="119">
        <f t="shared" si="5"/>
        <v>12.694585898367707</v>
      </c>
      <c r="U33" s="118">
        <f t="shared" si="6"/>
        <v>1.2705882352941175E-4</v>
      </c>
      <c r="V33" s="117">
        <f t="shared" si="7"/>
        <v>0.99987294117647063</v>
      </c>
      <c r="W33" s="116">
        <f t="shared" si="8"/>
        <v>14588.808436334877</v>
      </c>
      <c r="X33" s="116">
        <f>SUM(W33:W$109)</f>
        <v>194941.12574039298</v>
      </c>
      <c r="Y33" s="116">
        <f>SUM(X33:X$109)</f>
        <v>2555862.6661995719</v>
      </c>
      <c r="Z33" s="116">
        <f t="shared" si="9"/>
        <v>1.7163304042746914</v>
      </c>
      <c r="AA33" s="116">
        <f>SUM(Z33:Z$109)</f>
        <v>112.59327037585206</v>
      </c>
      <c r="AB33" s="115">
        <f>SUM(AA33:AA$109)</f>
        <v>2835.8183919701064</v>
      </c>
    </row>
    <row r="34" spans="2:28">
      <c r="B34" s="123">
        <v>26</v>
      </c>
      <c r="C34" s="147">
        <v>1.6941176470588234E-4</v>
      </c>
      <c r="D34" s="146">
        <v>1.2705882352941175E-4</v>
      </c>
      <c r="F34" s="120">
        <v>26</v>
      </c>
      <c r="G34" s="119">
        <f t="shared" si="10"/>
        <v>99864.550921981718</v>
      </c>
      <c r="H34" s="119">
        <f t="shared" si="0"/>
        <v>16.918229803253372</v>
      </c>
      <c r="I34" s="121">
        <f t="shared" si="1"/>
        <v>1.6941176470588234E-4</v>
      </c>
      <c r="J34" s="117">
        <f t="shared" si="2"/>
        <v>0.99983058823529414</v>
      </c>
      <c r="K34" s="116">
        <f t="shared" si="3"/>
        <v>13501.863426571037</v>
      </c>
      <c r="L34" s="116">
        <f>SUM(K34:K$109)</f>
        <v>180188.94948720964</v>
      </c>
      <c r="M34" s="116">
        <f>SUM(L34:L$109)</f>
        <v>2358161.2732195114</v>
      </c>
      <c r="N34" s="116">
        <f t="shared" si="4"/>
        <v>2.1179393610307504</v>
      </c>
      <c r="O34" s="116">
        <f>SUM(N34:N$109)</f>
        <v>118.39480894362985</v>
      </c>
      <c r="P34" s="115">
        <f>SUM(O34:O$109)</f>
        <v>2763.7706814844341</v>
      </c>
      <c r="R34" s="120">
        <v>26</v>
      </c>
      <c r="S34" s="119">
        <f t="shared" si="11"/>
        <v>99898.398132736373</v>
      </c>
      <c r="T34" s="119">
        <f t="shared" si="5"/>
        <v>12.692972939218267</v>
      </c>
      <c r="U34" s="118">
        <f t="shared" si="6"/>
        <v>1.2705882352941175E-4</v>
      </c>
      <c r="V34" s="117">
        <f t="shared" si="7"/>
        <v>0.99987294117647063</v>
      </c>
      <c r="W34" s="116">
        <f t="shared" si="8"/>
        <v>13506.439629165056</v>
      </c>
      <c r="X34" s="116">
        <f>SUM(W34:W$109)</f>
        <v>180352.31730405809</v>
      </c>
      <c r="Y34" s="116">
        <f>SUM(X34:X$109)</f>
        <v>2360921.5404591798</v>
      </c>
      <c r="Z34" s="116">
        <f t="shared" si="9"/>
        <v>1.5889928975488299</v>
      </c>
      <c r="AA34" s="116">
        <f>SUM(Z34:Z$109)</f>
        <v>110.87693997157737</v>
      </c>
      <c r="AB34" s="115">
        <f>SUM(AA34:AA$109)</f>
        <v>2723.2251215942542</v>
      </c>
    </row>
    <row r="35" spans="2:28">
      <c r="B35" s="123">
        <v>27</v>
      </c>
      <c r="C35" s="147">
        <v>1.6941176470588234E-4</v>
      </c>
      <c r="D35" s="146">
        <v>1.2705882352941175E-4</v>
      </c>
      <c r="F35" s="120">
        <v>27</v>
      </c>
      <c r="G35" s="119">
        <f t="shared" si="10"/>
        <v>99847.632692178464</v>
      </c>
      <c r="H35" s="119">
        <f t="shared" si="0"/>
        <v>16.915363656086704</v>
      </c>
      <c r="I35" s="121">
        <f t="shared" si="1"/>
        <v>1.6941176470588234E-4</v>
      </c>
      <c r="J35" s="117">
        <f t="shared" si="2"/>
        <v>0.99983058823529414</v>
      </c>
      <c r="K35" s="116">
        <f t="shared" si="3"/>
        <v>12499.607455612151</v>
      </c>
      <c r="L35" s="116">
        <f>SUM(K35:K$109)</f>
        <v>166687.0860606386</v>
      </c>
      <c r="M35" s="116">
        <f>SUM(L35:L$109)</f>
        <v>2177972.3237323021</v>
      </c>
      <c r="N35" s="116">
        <f t="shared" si="4"/>
        <v>1.9607227381352395</v>
      </c>
      <c r="O35" s="116">
        <f>SUM(N35:N$109)</f>
        <v>116.27686958259912</v>
      </c>
      <c r="P35" s="115">
        <f>SUM(O35:O$109)</f>
        <v>2645.3758725408038</v>
      </c>
      <c r="R35" s="120">
        <v>27</v>
      </c>
      <c r="S35" s="119">
        <f t="shared" si="11"/>
        <v>99885.705159797159</v>
      </c>
      <c r="T35" s="119">
        <f t="shared" si="5"/>
        <v>12.69136018500952</v>
      </c>
      <c r="U35" s="118">
        <f t="shared" si="6"/>
        <v>1.2705882352941175E-4</v>
      </c>
      <c r="V35" s="117">
        <f t="shared" si="7"/>
        <v>0.99987294117647063</v>
      </c>
      <c r="W35" s="116">
        <f t="shared" si="8"/>
        <v>12504.373626699724</v>
      </c>
      <c r="X35" s="116">
        <f>SUM(W35:W$109)</f>
        <v>166845.87767489304</v>
      </c>
      <c r="Y35" s="116">
        <f>SUM(X35:X$109)</f>
        <v>2180569.2231551218</v>
      </c>
      <c r="Z35" s="116">
        <f t="shared" si="9"/>
        <v>1.4711027796117324</v>
      </c>
      <c r="AA35" s="116">
        <f>SUM(Z35:Z$109)</f>
        <v>109.28794707402854</v>
      </c>
      <c r="AB35" s="115">
        <f>SUM(AA35:AA$109)</f>
        <v>2612.3481816226767</v>
      </c>
    </row>
    <row r="36" spans="2:28">
      <c r="B36" s="123">
        <v>28</v>
      </c>
      <c r="C36" s="147">
        <v>1.6941176470588234E-4</v>
      </c>
      <c r="D36" s="146">
        <v>1.2705882352941175E-4</v>
      </c>
      <c r="F36" s="120">
        <v>28</v>
      </c>
      <c r="G36" s="119">
        <f t="shared" si="10"/>
        <v>99830.717328522383</v>
      </c>
      <c r="H36" s="119">
        <f t="shared" si="0"/>
        <v>16.912497994479086</v>
      </c>
      <c r="I36" s="121">
        <f t="shared" si="1"/>
        <v>1.6941176470588234E-4</v>
      </c>
      <c r="J36" s="117">
        <f t="shared" si="2"/>
        <v>0.99983058823529414</v>
      </c>
      <c r="K36" s="116">
        <f t="shared" si="3"/>
        <v>11571.749884310155</v>
      </c>
      <c r="L36" s="116">
        <f>SUM(K36:K$109)</f>
        <v>154187.47860502644</v>
      </c>
      <c r="M36" s="116">
        <f>SUM(L36:L$109)</f>
        <v>2011285.2376716647</v>
      </c>
      <c r="N36" s="116">
        <f t="shared" si="4"/>
        <v>1.8151764524408078</v>
      </c>
      <c r="O36" s="116">
        <f>SUM(N36:N$109)</f>
        <v>114.31614684446387</v>
      </c>
      <c r="P36" s="115">
        <f>SUM(O36:O$109)</f>
        <v>2529.0990029582049</v>
      </c>
      <c r="R36" s="120">
        <v>28</v>
      </c>
      <c r="S36" s="119">
        <f t="shared" si="11"/>
        <v>99873.013799612148</v>
      </c>
      <c r="T36" s="119">
        <f t="shared" si="5"/>
        <v>12.689747635715424</v>
      </c>
      <c r="U36" s="118">
        <f t="shared" si="6"/>
        <v>1.2705882352941175E-4</v>
      </c>
      <c r="V36" s="117">
        <f t="shared" si="7"/>
        <v>0.99987294117647063</v>
      </c>
      <c r="W36" s="116">
        <f t="shared" si="8"/>
        <v>11576.65262564606</v>
      </c>
      <c r="X36" s="116">
        <f>SUM(W36:W$109)</f>
        <v>154341.50404819331</v>
      </c>
      <c r="Y36" s="116">
        <f>SUM(X36:X$109)</f>
        <v>2013723.345480229</v>
      </c>
      <c r="Z36" s="116">
        <f t="shared" si="9"/>
        <v>1.3619591324289477</v>
      </c>
      <c r="AA36" s="116">
        <f>SUM(Z36:Z$109)</f>
        <v>107.81684429441681</v>
      </c>
      <c r="AB36" s="115">
        <f>SUM(AA36:AA$109)</f>
        <v>2503.0602345486486</v>
      </c>
    </row>
    <row r="37" spans="2:28">
      <c r="B37" s="123">
        <v>29</v>
      </c>
      <c r="C37" s="147">
        <v>1.6941176470588234E-4</v>
      </c>
      <c r="D37" s="146">
        <v>1.2705882352941175E-4</v>
      </c>
      <c r="F37" s="120">
        <v>29</v>
      </c>
      <c r="G37" s="119">
        <f t="shared" si="10"/>
        <v>99813.804830527908</v>
      </c>
      <c r="H37" s="119">
        <f t="shared" si="0"/>
        <v>16.909632818348257</v>
      </c>
      <c r="I37" s="121">
        <f t="shared" si="1"/>
        <v>1.6941176470588234E-4</v>
      </c>
      <c r="J37" s="117">
        <f t="shared" si="2"/>
        <v>0.99983058823529414</v>
      </c>
      <c r="K37" s="116">
        <f t="shared" si="3"/>
        <v>10712.768049760662</v>
      </c>
      <c r="L37" s="116">
        <f>SUM(K37:K$109)</f>
        <v>142615.72872071626</v>
      </c>
      <c r="M37" s="116">
        <f>SUM(L37:L$109)</f>
        <v>1857097.7590666383</v>
      </c>
      <c r="N37" s="116">
        <f t="shared" si="4"/>
        <v>1.6804342038840254</v>
      </c>
      <c r="O37" s="116">
        <f>SUM(N37:N$109)</f>
        <v>112.50097039202306</v>
      </c>
      <c r="P37" s="115">
        <f>SUM(O37:O$109)</f>
        <v>2414.7828561137412</v>
      </c>
      <c r="R37" s="120">
        <v>29</v>
      </c>
      <c r="S37" s="119">
        <f t="shared" si="11"/>
        <v>99860.324051976437</v>
      </c>
      <c r="T37" s="119">
        <f t="shared" si="5"/>
        <v>12.688135291309946</v>
      </c>
      <c r="U37" s="118">
        <f t="shared" si="6"/>
        <v>1.2705882352941175E-4</v>
      </c>
      <c r="V37" s="117">
        <f t="shared" si="7"/>
        <v>0.99987294117647063</v>
      </c>
      <c r="W37" s="116">
        <f t="shared" si="8"/>
        <v>10717.760842391699</v>
      </c>
      <c r="X37" s="116">
        <f>SUM(W37:W$109)</f>
        <v>142764.85142254728</v>
      </c>
      <c r="Y37" s="116">
        <f>SUM(X37:X$109)</f>
        <v>1859381.8414320357</v>
      </c>
      <c r="Z37" s="116">
        <f t="shared" si="9"/>
        <v>1.2609130402813762</v>
      </c>
      <c r="AA37" s="116">
        <f>SUM(Z37:Z$109)</f>
        <v>106.45488516198786</v>
      </c>
      <c r="AB37" s="115">
        <f>SUM(AA37:AA$109)</f>
        <v>2395.2433902542316</v>
      </c>
    </row>
    <row r="38" spans="2:28">
      <c r="B38" s="123">
        <v>30</v>
      </c>
      <c r="C38" s="147">
        <v>1.6941176470588234E-4</v>
      </c>
      <c r="D38" s="146">
        <v>1.2705882352941175E-4</v>
      </c>
      <c r="F38" s="120">
        <v>30</v>
      </c>
      <c r="G38" s="119">
        <f t="shared" si="10"/>
        <v>99796.895197709557</v>
      </c>
      <c r="H38" s="119">
        <f t="shared" si="0"/>
        <v>16.906768127611972</v>
      </c>
      <c r="I38" s="121">
        <f t="shared" si="1"/>
        <v>1.6941176470588234E-4</v>
      </c>
      <c r="J38" s="117">
        <f t="shared" si="2"/>
        <v>0.99983058823529414</v>
      </c>
      <c r="K38" s="116">
        <f t="shared" si="3"/>
        <v>9917.5492415004337</v>
      </c>
      <c r="L38" s="116">
        <f>SUM(K38:K$109)</f>
        <v>131902.96067095562</v>
      </c>
      <c r="M38" s="116">
        <f>SUM(L38:L$109)</f>
        <v>1714482.0303459221</v>
      </c>
      <c r="N38" s="116">
        <f t="shared" si="4"/>
        <v>1.5556939986667342</v>
      </c>
      <c r="O38" s="116">
        <f>SUM(N38:N$109)</f>
        <v>110.82053618813904</v>
      </c>
      <c r="P38" s="115">
        <f>SUM(O38:O$109)</f>
        <v>2302.2818857217176</v>
      </c>
      <c r="R38" s="120">
        <v>30</v>
      </c>
      <c r="S38" s="119">
        <f t="shared" si="11"/>
        <v>99847.635916685133</v>
      </c>
      <c r="T38" s="119">
        <f t="shared" si="5"/>
        <v>12.686523151767052</v>
      </c>
      <c r="U38" s="118">
        <f t="shared" si="6"/>
        <v>1.2705882352941175E-4</v>
      </c>
      <c r="V38" s="117">
        <f t="shared" si="7"/>
        <v>0.99987294117647063</v>
      </c>
      <c r="W38" s="116">
        <f t="shared" si="8"/>
        <v>9922.5917188038857</v>
      </c>
      <c r="X38" s="116">
        <f>SUM(W38:W$109)</f>
        <v>132047.09058015555</v>
      </c>
      <c r="Y38" s="116">
        <f>SUM(X38:X$109)</f>
        <v>1716616.9900094883</v>
      </c>
      <c r="Z38" s="116">
        <f t="shared" si="9"/>
        <v>1.1673637316239862</v>
      </c>
      <c r="AA38" s="116">
        <f>SUM(Z38:Z$109)</f>
        <v>105.19397212170648</v>
      </c>
      <c r="AB38" s="115">
        <f>SUM(AA38:AA$109)</f>
        <v>2288.7885050922437</v>
      </c>
    </row>
    <row r="39" spans="2:28">
      <c r="B39" s="123">
        <v>31</v>
      </c>
      <c r="C39" s="147">
        <v>1.8941176470588236E-4</v>
      </c>
      <c r="D39" s="146">
        <v>1.4352941176470587E-4</v>
      </c>
      <c r="F39" s="120">
        <v>31</v>
      </c>
      <c r="G39" s="119">
        <f t="shared" si="10"/>
        <v>99779.98842958195</v>
      </c>
      <c r="H39" s="119">
        <f t="shared" si="0"/>
        <v>18.899503690779643</v>
      </c>
      <c r="I39" s="121">
        <f t="shared" si="1"/>
        <v>1.8941176470588236E-4</v>
      </c>
      <c r="J39" s="117">
        <f t="shared" si="2"/>
        <v>0.99981058823529412</v>
      </c>
      <c r="K39" s="116">
        <f t="shared" si="3"/>
        <v>9181.3602703535835</v>
      </c>
      <c r="L39" s="116">
        <f>SUM(K39:K$109)</f>
        <v>121985.41142945517</v>
      </c>
      <c r="M39" s="116">
        <f>SUM(L39:L$109)</f>
        <v>1582579.0696749662</v>
      </c>
      <c r="N39" s="116">
        <f t="shared" si="4"/>
        <v>1.6102385659334719</v>
      </c>
      <c r="O39" s="116">
        <f>SUM(N39:N$109)</f>
        <v>109.2648421894723</v>
      </c>
      <c r="P39" s="115">
        <f>SUM(O39:O$109)</f>
        <v>2191.4613495335789</v>
      </c>
      <c r="R39" s="120">
        <v>31</v>
      </c>
      <c r="S39" s="119">
        <f t="shared" si="11"/>
        <v>99834.949393533359</v>
      </c>
      <c r="T39" s="119">
        <f t="shared" si="5"/>
        <v>14.329251560013022</v>
      </c>
      <c r="U39" s="118">
        <f t="shared" si="6"/>
        <v>1.4352941176470587E-4</v>
      </c>
      <c r="V39" s="117">
        <f t="shared" si="7"/>
        <v>0.99985647058823535</v>
      </c>
      <c r="W39" s="116">
        <f t="shared" si="8"/>
        <v>9186.417561086786</v>
      </c>
      <c r="X39" s="116">
        <f>SUM(W39:W$109)</f>
        <v>122124.49886135168</v>
      </c>
      <c r="Y39" s="116">
        <f>SUM(X39:X$109)</f>
        <v>1584569.8994293325</v>
      </c>
      <c r="Z39" s="116">
        <f t="shared" si="9"/>
        <v>1.2208528784886576</v>
      </c>
      <c r="AA39" s="116">
        <f>SUM(Z39:Z$109)</f>
        <v>104.0266083900825</v>
      </c>
      <c r="AB39" s="115">
        <f>SUM(AA39:AA$109)</f>
        <v>2183.5945329705373</v>
      </c>
    </row>
    <row r="40" spans="2:28">
      <c r="B40" s="123">
        <v>32</v>
      </c>
      <c r="C40" s="147">
        <v>2.1411764705882354E-4</v>
      </c>
      <c r="D40" s="146">
        <v>1.6470588235294119E-4</v>
      </c>
      <c r="F40" s="120">
        <v>32</v>
      </c>
      <c r="G40" s="119">
        <f t="shared" si="10"/>
        <v>99761.088925891177</v>
      </c>
      <c r="H40" s="119">
        <f t="shared" ref="H40:H71" si="12">G40*I40</f>
        <v>21.360609628837878</v>
      </c>
      <c r="I40" s="121">
        <f t="shared" ref="I40:I71" si="13">C40*$D$2</f>
        <v>2.1411764705882354E-4</v>
      </c>
      <c r="J40" s="117">
        <f t="shared" ref="J40:J71" si="14">1-I40</f>
        <v>0.99978588235294119</v>
      </c>
      <c r="K40" s="116">
        <f t="shared" ref="K40:K71" si="15">v($C$2)^$F40*$G40</f>
        <v>8499.6492710207185</v>
      </c>
      <c r="L40" s="116">
        <f>SUM(K40:K$109)</f>
        <v>112804.05115910158</v>
      </c>
      <c r="M40" s="116">
        <f>SUM(L40:L$109)</f>
        <v>1460593.6582455107</v>
      </c>
      <c r="N40" s="116">
        <f t="shared" ref="N40:N71" si="16">v($C$2)^($F40+1)*$H40</f>
        <v>1.6851156506816678</v>
      </c>
      <c r="O40" s="116">
        <f>SUM(N40:N$109)</f>
        <v>107.65460362353883</v>
      </c>
      <c r="P40" s="115">
        <f>SUM(O40:O$109)</f>
        <v>2082.1965073441061</v>
      </c>
      <c r="R40" s="120">
        <v>32</v>
      </c>
      <c r="S40" s="119">
        <f t="shared" si="11"/>
        <v>99820.620141973341</v>
      </c>
      <c r="T40" s="119">
        <f t="shared" ref="T40:T71" si="17">S40*U40</f>
        <v>16.441043317501492</v>
      </c>
      <c r="U40" s="118">
        <f t="shared" ref="U40:U71" si="18">D40*$D$2</f>
        <v>1.6470588235294119E-4</v>
      </c>
      <c r="V40" s="117">
        <f t="shared" ref="V40:V71" si="19">1-U40</f>
        <v>0.99983529411764704</v>
      </c>
      <c r="W40" s="116">
        <f t="shared" ref="W40:W71" si="20">v($C$2)^$R40*$S40</f>
        <v>8504.7213333129785</v>
      </c>
      <c r="X40" s="116">
        <f>SUM(W40:W$109)</f>
        <v>112938.08130026488</v>
      </c>
      <c r="Y40" s="116">
        <f>SUM(X40:X$109)</f>
        <v>1462445.4005679807</v>
      </c>
      <c r="Z40" s="116">
        <f t="shared" ref="Z40:Z71" si="21">v($C$2)^($R40+1)*T40</f>
        <v>1.2970163253418485</v>
      </c>
      <c r="AA40" s="116">
        <f>SUM(Z40:Z$109)</f>
        <v>102.80575551159384</v>
      </c>
      <c r="AB40" s="115">
        <f>SUM(AA40:AA$109)</f>
        <v>2079.5679245804549</v>
      </c>
    </row>
    <row r="41" spans="2:28">
      <c r="B41" s="123">
        <v>33</v>
      </c>
      <c r="C41" s="147">
        <v>2.4588235294117645E-4</v>
      </c>
      <c r="D41" s="146">
        <v>1.9176470588235295E-4</v>
      </c>
      <c r="F41" s="120">
        <v>33</v>
      </c>
      <c r="G41" s="119">
        <f t="shared" ref="G41:G72" si="22">G40-H40</f>
        <v>99739.728316262335</v>
      </c>
      <c r="H41" s="119">
        <f t="shared" si="12"/>
        <v>24.524239080116267</v>
      </c>
      <c r="I41" s="121">
        <f t="shared" si="13"/>
        <v>2.4588235294117645E-4</v>
      </c>
      <c r="J41" s="117">
        <f t="shared" si="14"/>
        <v>0.99975411764705879</v>
      </c>
      <c r="K41" s="116">
        <f t="shared" si="15"/>
        <v>7868.3605056647984</v>
      </c>
      <c r="L41" s="116">
        <f>SUM(K41:K$109)</f>
        <v>104304.40188808086</v>
      </c>
      <c r="M41" s="116">
        <f>SUM(L41:L$109)</f>
        <v>1347789.6070864091</v>
      </c>
      <c r="N41" s="116">
        <f t="shared" si="16"/>
        <v>1.791380550853968</v>
      </c>
      <c r="O41" s="116">
        <f>SUM(N41:N$109)</f>
        <v>105.96948797285717</v>
      </c>
      <c r="P41" s="115">
        <f>SUM(O41:O$109)</f>
        <v>1974.5419037205675</v>
      </c>
      <c r="R41" s="120">
        <v>33</v>
      </c>
      <c r="S41" s="119">
        <f t="shared" ref="S41:S72" si="23">S40-T40</f>
        <v>99804.179098655834</v>
      </c>
      <c r="T41" s="119">
        <f t="shared" si="17"/>
        <v>19.138919050683413</v>
      </c>
      <c r="U41" s="118">
        <f t="shared" si="18"/>
        <v>1.9176470588235295E-4</v>
      </c>
      <c r="V41" s="117">
        <f t="shared" si="19"/>
        <v>0.99980823529411766</v>
      </c>
      <c r="W41" s="116">
        <f t="shared" si="20"/>
        <v>7873.4449589644528</v>
      </c>
      <c r="X41" s="116">
        <f>SUM(W41:W$109)</f>
        <v>104433.35996695189</v>
      </c>
      <c r="Y41" s="116">
        <f>SUM(X41:X$109)</f>
        <v>1349507.3192677156</v>
      </c>
      <c r="Z41" s="116">
        <f t="shared" si="21"/>
        <v>1.3980082007747336</v>
      </c>
      <c r="AA41" s="116">
        <f>SUM(Z41:Z$109)</f>
        <v>101.508739186252</v>
      </c>
      <c r="AB41" s="115">
        <f>SUM(AA41:AA$109)</f>
        <v>1976.7621690688604</v>
      </c>
    </row>
    <row r="42" spans="2:28">
      <c r="B42" s="123">
        <v>34</v>
      </c>
      <c r="C42" s="147">
        <v>2.8117647058823527E-4</v>
      </c>
      <c r="D42" s="146">
        <v>2.2235294117647062E-4</v>
      </c>
      <c r="F42" s="120">
        <v>34</v>
      </c>
      <c r="G42" s="119">
        <f t="shared" si="22"/>
        <v>99715.204077182221</v>
      </c>
      <c r="H42" s="119">
        <f t="shared" si="12"/>
        <v>28.037569146407705</v>
      </c>
      <c r="I42" s="121">
        <f t="shared" si="13"/>
        <v>2.8117647058823527E-4</v>
      </c>
      <c r="J42" s="117">
        <f t="shared" si="14"/>
        <v>0.99971882352941177</v>
      </c>
      <c r="K42" s="116">
        <f t="shared" si="15"/>
        <v>7283.7276061758103</v>
      </c>
      <c r="L42" s="116">
        <f>SUM(K42:K$109)</f>
        <v>96436.04138241605</v>
      </c>
      <c r="M42" s="116">
        <f>SUM(L42:L$109)</f>
        <v>1243485.205198328</v>
      </c>
      <c r="N42" s="116">
        <f t="shared" si="16"/>
        <v>1.8963081676209352</v>
      </c>
      <c r="O42" s="116">
        <f>SUM(N42:N$109)</f>
        <v>104.17810742200321</v>
      </c>
      <c r="P42" s="115">
        <f>SUM(O42:O$109)</f>
        <v>1868.5724157477102</v>
      </c>
      <c r="R42" s="120">
        <v>34</v>
      </c>
      <c r="S42" s="119">
        <f t="shared" si="23"/>
        <v>99785.040179605145</v>
      </c>
      <c r="T42" s="119">
        <f t="shared" si="17"/>
        <v>22.187497169347502</v>
      </c>
      <c r="U42" s="118">
        <f t="shared" si="18"/>
        <v>2.2235294117647062E-4</v>
      </c>
      <c r="V42" s="117">
        <f t="shared" si="19"/>
        <v>0.99977764705882355</v>
      </c>
      <c r="W42" s="116">
        <f t="shared" si="20"/>
        <v>7288.8288056551983</v>
      </c>
      <c r="X42" s="116">
        <f>SUM(W42:W$109)</f>
        <v>96559.915007987438</v>
      </c>
      <c r="Y42" s="116">
        <f>SUM(X42:X$109)</f>
        <v>1245073.9593007634</v>
      </c>
      <c r="Z42" s="116">
        <f t="shared" si="21"/>
        <v>1.5006412246937175</v>
      </c>
      <c r="AA42" s="116">
        <f>SUM(Z42:Z$109)</f>
        <v>100.11073098547726</v>
      </c>
      <c r="AB42" s="115">
        <f>SUM(AA42:AA$109)</f>
        <v>1875.2534298826083</v>
      </c>
    </row>
    <row r="43" spans="2:28">
      <c r="B43" s="123">
        <v>35</v>
      </c>
      <c r="C43" s="147">
        <v>3.2000000000000003E-4</v>
      </c>
      <c r="D43" s="146">
        <v>2.552941176470588E-4</v>
      </c>
      <c r="F43" s="120">
        <v>35</v>
      </c>
      <c r="G43" s="119">
        <f t="shared" si="22"/>
        <v>99687.166508035807</v>
      </c>
      <c r="H43" s="119">
        <f t="shared" si="12"/>
        <v>31.899893282571462</v>
      </c>
      <c r="I43" s="121">
        <f t="shared" si="13"/>
        <v>3.2000000000000003E-4</v>
      </c>
      <c r="J43" s="117">
        <f t="shared" si="14"/>
        <v>0.99968000000000001</v>
      </c>
      <c r="K43" s="116">
        <f t="shared" si="15"/>
        <v>6742.2959197729433</v>
      </c>
      <c r="L43" s="116">
        <f>SUM(K43:K$109)</f>
        <v>89152.313776240262</v>
      </c>
      <c r="M43" s="116">
        <f>SUM(L43:L$109)</f>
        <v>1147049.1638159123</v>
      </c>
      <c r="N43" s="116">
        <f t="shared" si="16"/>
        <v>1.9977173095623537</v>
      </c>
      <c r="O43" s="116">
        <f>SUM(N43:N$109)</f>
        <v>102.28179925438228</v>
      </c>
      <c r="P43" s="115">
        <f>SUM(O43:O$109)</f>
        <v>1764.3943083257072</v>
      </c>
      <c r="R43" s="120">
        <v>35</v>
      </c>
      <c r="S43" s="119">
        <f t="shared" si="23"/>
        <v>99762.852682435798</v>
      </c>
      <c r="T43" s="119">
        <f t="shared" si="17"/>
        <v>25.46886944951596</v>
      </c>
      <c r="U43" s="118">
        <f t="shared" si="18"/>
        <v>2.552941176470588E-4</v>
      </c>
      <c r="V43" s="117">
        <f t="shared" si="19"/>
        <v>0.99974470588235298</v>
      </c>
      <c r="W43" s="116">
        <f t="shared" si="20"/>
        <v>6747.4149195671562</v>
      </c>
      <c r="X43" s="116">
        <f>SUM(W43:W$109)</f>
        <v>89271.086202332241</v>
      </c>
      <c r="Y43" s="116">
        <f>SUM(X43:X$109)</f>
        <v>1148514.0442927761</v>
      </c>
      <c r="Z43" s="116">
        <f t="shared" si="21"/>
        <v>1.5949771650828679</v>
      </c>
      <c r="AA43" s="116">
        <f>SUM(Z43:Z$109)</f>
        <v>98.610089760783538</v>
      </c>
      <c r="AB43" s="115">
        <f>SUM(AA43:AA$109)</f>
        <v>1775.1426988971311</v>
      </c>
    </row>
    <row r="44" spans="2:28">
      <c r="B44" s="123">
        <v>36</v>
      </c>
      <c r="C44" s="147">
        <v>3.6941176470588237E-4</v>
      </c>
      <c r="D44" s="146">
        <v>2.9882352941176468E-4</v>
      </c>
      <c r="F44" s="120">
        <v>36</v>
      </c>
      <c r="G44" s="119">
        <f t="shared" si="22"/>
        <v>99655.266614753229</v>
      </c>
      <c r="H44" s="119">
        <f t="shared" si="12"/>
        <v>36.813827902391196</v>
      </c>
      <c r="I44" s="121">
        <f t="shared" si="13"/>
        <v>3.6941176470588237E-4</v>
      </c>
      <c r="J44" s="117">
        <f t="shared" si="14"/>
        <v>0.99963058823529416</v>
      </c>
      <c r="K44" s="116">
        <f t="shared" si="15"/>
        <v>6240.8688750727924</v>
      </c>
      <c r="L44" s="116">
        <f>SUM(K44:K$109)</f>
        <v>82410.017856467297</v>
      </c>
      <c r="M44" s="116">
        <f>SUM(L44:L$109)</f>
        <v>1057896.8500396721</v>
      </c>
      <c r="N44" s="116">
        <f t="shared" si="16"/>
        <v>2.1346762818876432</v>
      </c>
      <c r="O44" s="116">
        <f>SUM(N44:N$109)</f>
        <v>100.28408194481993</v>
      </c>
      <c r="P44" s="115">
        <f>SUM(O44:O$109)</f>
        <v>1662.1125090713249</v>
      </c>
      <c r="R44" s="120">
        <v>36</v>
      </c>
      <c r="S44" s="119">
        <f t="shared" si="23"/>
        <v>99737.383812986285</v>
      </c>
      <c r="T44" s="119">
        <f t="shared" si="17"/>
        <v>29.803877045292371</v>
      </c>
      <c r="U44" s="118">
        <f t="shared" si="18"/>
        <v>2.9882352941176468E-4</v>
      </c>
      <c r="V44" s="117">
        <f t="shared" si="19"/>
        <v>0.9997011764705882</v>
      </c>
      <c r="W44" s="116">
        <f t="shared" si="20"/>
        <v>6246.0114298415428</v>
      </c>
      <c r="X44" s="116">
        <f>SUM(W44:W$109)</f>
        <v>82523.671282765077</v>
      </c>
      <c r="Y44" s="116">
        <f>SUM(X44:X$109)</f>
        <v>1059242.9580904439</v>
      </c>
      <c r="Z44" s="116">
        <f t="shared" si="21"/>
        <v>1.7281992409365483</v>
      </c>
      <c r="AA44" s="116">
        <f>SUM(Z44:Z$109)</f>
        <v>97.015112595700671</v>
      </c>
      <c r="AB44" s="115">
        <f>SUM(AA44:AA$109)</f>
        <v>1676.5326091363477</v>
      </c>
    </row>
    <row r="45" spans="2:28">
      <c r="B45" s="123">
        <v>37</v>
      </c>
      <c r="C45" s="147">
        <v>4.2235294117647061E-4</v>
      </c>
      <c r="D45" s="146">
        <v>3.4588235294117649E-4</v>
      </c>
      <c r="F45" s="120">
        <v>37</v>
      </c>
      <c r="G45" s="119">
        <f t="shared" si="22"/>
        <v>99618.452786850845</v>
      </c>
      <c r="H45" s="119">
        <f t="shared" si="12"/>
        <v>42.074146529975827</v>
      </c>
      <c r="I45" s="121">
        <f t="shared" si="13"/>
        <v>4.2235294117647061E-4</v>
      </c>
      <c r="J45" s="117">
        <f t="shared" si="14"/>
        <v>0.99957764705882357</v>
      </c>
      <c r="K45" s="116">
        <f t="shared" si="15"/>
        <v>5776.4476154521781</v>
      </c>
      <c r="L45" s="116">
        <f>SUM(K45:K$109)</f>
        <v>76169.148981394523</v>
      </c>
      <c r="M45" s="116">
        <f>SUM(L45:L$109)</f>
        <v>975486.83218320459</v>
      </c>
      <c r="N45" s="116">
        <f t="shared" si="16"/>
        <v>2.2589811480907751</v>
      </c>
      <c r="O45" s="116">
        <f>SUM(N45:N$109)</f>
        <v>98.149405662932281</v>
      </c>
      <c r="P45" s="115">
        <f>SUM(O45:O$109)</f>
        <v>1561.8284271265052</v>
      </c>
      <c r="R45" s="120">
        <v>37</v>
      </c>
      <c r="S45" s="119">
        <f t="shared" si="23"/>
        <v>99707.579935940987</v>
      </c>
      <c r="T45" s="119">
        <f t="shared" si="17"/>
        <v>34.48709235431371</v>
      </c>
      <c r="U45" s="118">
        <f t="shared" si="18"/>
        <v>3.4588235294117649E-4</v>
      </c>
      <c r="V45" s="117">
        <f t="shared" si="19"/>
        <v>0.9996541176470588</v>
      </c>
      <c r="W45" s="116">
        <f t="shared" si="20"/>
        <v>5781.615717279009</v>
      </c>
      <c r="X45" s="116">
        <f>SUM(W45:W$109)</f>
        <v>76277.659852923534</v>
      </c>
      <c r="Y45" s="116">
        <f>SUM(X45:X$109)</f>
        <v>976719.28680767934</v>
      </c>
      <c r="Z45" s="116">
        <f t="shared" si="21"/>
        <v>1.8516285630501401</v>
      </c>
      <c r="AA45" s="116">
        <f>SUM(Z45:Z$109)</f>
        <v>95.286913354764124</v>
      </c>
      <c r="AB45" s="115">
        <f>SUM(AA45:AA$109)</f>
        <v>1579.5174965406468</v>
      </c>
    </row>
    <row r="46" spans="2:28">
      <c r="B46" s="123">
        <v>38</v>
      </c>
      <c r="C46" s="147">
        <v>4.8352941176470584E-4</v>
      </c>
      <c r="D46" s="146">
        <v>4.0117647058823537E-4</v>
      </c>
      <c r="F46" s="120">
        <v>38</v>
      </c>
      <c r="G46" s="119">
        <f t="shared" si="22"/>
        <v>99576.378640320865</v>
      </c>
      <c r="H46" s="119">
        <f t="shared" si="12"/>
        <v>48.148107789613967</v>
      </c>
      <c r="I46" s="121">
        <f t="shared" si="13"/>
        <v>4.8352941176470584E-4</v>
      </c>
      <c r="J46" s="117">
        <f t="shared" si="14"/>
        <v>0.99951647058823534</v>
      </c>
      <c r="K46" s="116">
        <f t="shared" si="15"/>
        <v>5346.3036257520735</v>
      </c>
      <c r="L46" s="116">
        <f>SUM(K46:K$109)</f>
        <v>70392.701365942354</v>
      </c>
      <c r="M46" s="116">
        <f>SUM(L46:L$109)</f>
        <v>899317.68320181011</v>
      </c>
      <c r="N46" s="116">
        <f t="shared" si="16"/>
        <v>2.3936065252550129</v>
      </c>
      <c r="O46" s="116">
        <f>SUM(N46:N$109)</f>
        <v>95.890424514841513</v>
      </c>
      <c r="P46" s="115">
        <f>SUM(O46:O$109)</f>
        <v>1463.6790214635726</v>
      </c>
      <c r="R46" s="120">
        <v>38</v>
      </c>
      <c r="S46" s="119">
        <f t="shared" si="23"/>
        <v>99673.092843586666</v>
      </c>
      <c r="T46" s="119">
        <f t="shared" si="17"/>
        <v>39.986499599603597</v>
      </c>
      <c r="U46" s="118">
        <f t="shared" si="18"/>
        <v>4.0117647058823537E-4</v>
      </c>
      <c r="V46" s="117">
        <f t="shared" si="19"/>
        <v>0.99959882352941176</v>
      </c>
      <c r="W46" s="116">
        <f t="shared" si="20"/>
        <v>5351.4962578064014</v>
      </c>
      <c r="X46" s="116">
        <f>SUM(W46:W$109)</f>
        <v>70496.044135644537</v>
      </c>
      <c r="Y46" s="116">
        <f>SUM(X46:X$109)</f>
        <v>900441.62695475575</v>
      </c>
      <c r="Z46" s="116">
        <f t="shared" si="21"/>
        <v>1.9878651676601125</v>
      </c>
      <c r="AA46" s="116">
        <f>SUM(Z46:Z$109)</f>
        <v>93.435284791713983</v>
      </c>
      <c r="AB46" s="115">
        <f>SUM(AA46:AA$109)</f>
        <v>1484.2305831858823</v>
      </c>
    </row>
    <row r="47" spans="2:28">
      <c r="B47" s="123">
        <v>39</v>
      </c>
      <c r="C47" s="147">
        <v>5.5411764705882354E-4</v>
      </c>
      <c r="D47" s="146">
        <v>4.6470588235294119E-4</v>
      </c>
      <c r="F47" s="120">
        <v>39</v>
      </c>
      <c r="G47" s="119">
        <f t="shared" si="22"/>
        <v>99528.230532531248</v>
      </c>
      <c r="H47" s="119">
        <f t="shared" si="12"/>
        <v>55.150348918614377</v>
      </c>
      <c r="I47" s="121">
        <f t="shared" si="13"/>
        <v>5.5411764705882354E-4</v>
      </c>
      <c r="J47" s="117">
        <f t="shared" si="14"/>
        <v>0.99944588235294118</v>
      </c>
      <c r="K47" s="116">
        <f t="shared" si="15"/>
        <v>4947.8875284303676</v>
      </c>
      <c r="L47" s="116">
        <f>SUM(K47:K$109)</f>
        <v>65046.39774019031</v>
      </c>
      <c r="M47" s="116">
        <f>SUM(L47:L$109)</f>
        <v>828924.98183586774</v>
      </c>
      <c r="N47" s="116">
        <f t="shared" si="16"/>
        <v>2.5386220325606792</v>
      </c>
      <c r="O47" s="116">
        <f>SUM(N47:N$109)</f>
        <v>93.496817989586503</v>
      </c>
      <c r="P47" s="115">
        <f>SUM(O47:O$109)</f>
        <v>1367.7885969487311</v>
      </c>
      <c r="R47" s="120">
        <v>39</v>
      </c>
      <c r="S47" s="119">
        <f t="shared" si="23"/>
        <v>99633.106343987063</v>
      </c>
      <c r="T47" s="119">
        <f t="shared" si="17"/>
        <v>46.300090595146933</v>
      </c>
      <c r="U47" s="118">
        <f t="shared" si="18"/>
        <v>4.6470588235294119E-4</v>
      </c>
      <c r="V47" s="117">
        <f t="shared" si="19"/>
        <v>0.99953529411764708</v>
      </c>
      <c r="W47" s="116">
        <f t="shared" si="20"/>
        <v>4953.1012624308596</v>
      </c>
      <c r="X47" s="116">
        <f>SUM(W47:W$109)</f>
        <v>65144.547877838158</v>
      </c>
      <c r="Y47" s="116">
        <f>SUM(X47:X$109)</f>
        <v>829945.5828191113</v>
      </c>
      <c r="Z47" s="116">
        <f t="shared" si="21"/>
        <v>2.1312363819827778</v>
      </c>
      <c r="AA47" s="116">
        <f>SUM(Z47:Z$109)</f>
        <v>91.447419624053879</v>
      </c>
      <c r="AB47" s="115">
        <f>SUM(AA47:AA$109)</f>
        <v>1390.7952983941686</v>
      </c>
    </row>
    <row r="48" spans="2:28">
      <c r="B48" s="123">
        <v>40</v>
      </c>
      <c r="C48" s="147">
        <v>6.3764705882352946E-4</v>
      </c>
      <c r="D48" s="146">
        <v>5.4235294117647059E-4</v>
      </c>
      <c r="F48" s="120">
        <v>40</v>
      </c>
      <c r="G48" s="119">
        <f t="shared" si="22"/>
        <v>99473.080183612634</v>
      </c>
      <c r="H48" s="119">
        <f t="shared" si="12"/>
        <v>63.428717011197705</v>
      </c>
      <c r="I48" s="121">
        <f t="shared" si="13"/>
        <v>6.3764705882352946E-4</v>
      </c>
      <c r="J48" s="117">
        <f t="shared" si="14"/>
        <v>0.99936235294117648</v>
      </c>
      <c r="K48" s="116">
        <f t="shared" si="15"/>
        <v>4578.8387191066695</v>
      </c>
      <c r="L48" s="116">
        <f>SUM(K48:K$109)</f>
        <v>60098.510211759938</v>
      </c>
      <c r="M48" s="116">
        <f>SUM(L48:L$109)</f>
        <v>763878.58409567736</v>
      </c>
      <c r="N48" s="116">
        <f t="shared" si="16"/>
        <v>2.7034102241348741</v>
      </c>
      <c r="O48" s="116">
        <f>SUM(N48:N$109)</f>
        <v>90.958195957025822</v>
      </c>
      <c r="P48" s="115">
        <f>SUM(O48:O$109)</f>
        <v>1274.2917789591447</v>
      </c>
      <c r="R48" s="120">
        <v>40</v>
      </c>
      <c r="S48" s="119">
        <f t="shared" si="23"/>
        <v>99586.806253391915</v>
      </c>
      <c r="T48" s="119">
        <f t="shared" si="17"/>
        <v>54.011197273898439</v>
      </c>
      <c r="U48" s="118">
        <f t="shared" si="18"/>
        <v>5.4235294117647059E-4</v>
      </c>
      <c r="V48" s="117">
        <f t="shared" si="19"/>
        <v>0.99945764705882356</v>
      </c>
      <c r="W48" s="116">
        <f t="shared" si="20"/>
        <v>4584.0736362391845</v>
      </c>
      <c r="X48" s="116">
        <f>SUM(W48:W$109)</f>
        <v>60191.446615407294</v>
      </c>
      <c r="Y48" s="116">
        <f>SUM(X48:X$109)</f>
        <v>764801.03494127316</v>
      </c>
      <c r="Z48" s="116">
        <f t="shared" si="21"/>
        <v>2.3020239066517032</v>
      </c>
      <c r="AA48" s="116">
        <f>SUM(Z48:Z$109)</f>
        <v>89.316183242071105</v>
      </c>
      <c r="AB48" s="115">
        <f>SUM(AA48:AA$109)</f>
        <v>1299.3478787701147</v>
      </c>
    </row>
    <row r="49" spans="2:28">
      <c r="B49" s="123">
        <v>41</v>
      </c>
      <c r="C49" s="147">
        <v>7.0941176470588235E-4</v>
      </c>
      <c r="D49" s="146">
        <v>6.1058823529411776E-4</v>
      </c>
      <c r="F49" s="120">
        <v>41</v>
      </c>
      <c r="G49" s="119">
        <f t="shared" si="22"/>
        <v>99409.651466601441</v>
      </c>
      <c r="H49" s="119">
        <f t="shared" si="12"/>
        <v>70.522376275718429</v>
      </c>
      <c r="I49" s="121">
        <f t="shared" si="13"/>
        <v>7.0941176470588235E-4</v>
      </c>
      <c r="J49" s="117">
        <f t="shared" si="14"/>
        <v>0.99929058823529415</v>
      </c>
      <c r="K49" s="116">
        <f t="shared" si="15"/>
        <v>4236.9620704301879</v>
      </c>
      <c r="L49" s="116">
        <f>SUM(K49:K$109)</f>
        <v>55519.671492653273</v>
      </c>
      <c r="M49" s="116">
        <f>SUM(L49:L$109)</f>
        <v>703780.07388391742</v>
      </c>
      <c r="N49" s="116">
        <f t="shared" si="16"/>
        <v>2.7831025364590447</v>
      </c>
      <c r="O49" s="116">
        <f>SUM(N49:N$109)</f>
        <v>88.254785732890937</v>
      </c>
      <c r="P49" s="115">
        <f>SUM(O49:O$109)</f>
        <v>1183.333583002119</v>
      </c>
      <c r="R49" s="120">
        <v>41</v>
      </c>
      <c r="S49" s="119">
        <f t="shared" si="23"/>
        <v>99532.795056118019</v>
      </c>
      <c r="T49" s="119">
        <f t="shared" si="17"/>
        <v>60.773553687206189</v>
      </c>
      <c r="U49" s="118">
        <f t="shared" si="18"/>
        <v>6.1058823529411776E-4</v>
      </c>
      <c r="V49" s="117">
        <f t="shared" si="19"/>
        <v>0.99938941176470586</v>
      </c>
      <c r="W49" s="116">
        <f t="shared" si="20"/>
        <v>4242.2106022407406</v>
      </c>
      <c r="X49" s="116">
        <f>SUM(W49:W$109)</f>
        <v>55607.372979168103</v>
      </c>
      <c r="Y49" s="116">
        <f>SUM(X49:X$109)</f>
        <v>704609.58832586592</v>
      </c>
      <c r="Z49" s="116">
        <f t="shared" si="21"/>
        <v>2.3983739679334906</v>
      </c>
      <c r="AA49" s="116">
        <f>SUM(Z49:Z$109)</f>
        <v>87.014159335419407</v>
      </c>
      <c r="AB49" s="115">
        <f>SUM(AA49:AA$109)</f>
        <v>1210.0316955280434</v>
      </c>
    </row>
    <row r="50" spans="2:28">
      <c r="B50" s="123">
        <v>42</v>
      </c>
      <c r="C50" s="147">
        <v>7.988235294117648E-4</v>
      </c>
      <c r="D50" s="146">
        <v>6.9529411764705882E-4</v>
      </c>
      <c r="F50" s="120">
        <v>42</v>
      </c>
      <c r="G50" s="119">
        <f t="shared" si="22"/>
        <v>99339.129090325718</v>
      </c>
      <c r="H50" s="119">
        <f t="shared" si="12"/>
        <v>79.35443370862491</v>
      </c>
      <c r="I50" s="121">
        <f t="shared" si="13"/>
        <v>7.988235294117648E-4</v>
      </c>
      <c r="J50" s="117">
        <f t="shared" si="14"/>
        <v>0.99920117647058826</v>
      </c>
      <c r="K50" s="116">
        <f t="shared" si="15"/>
        <v>3920.3299256396408</v>
      </c>
      <c r="L50" s="116">
        <f>SUM(K50:K$109)</f>
        <v>51282.709422223081</v>
      </c>
      <c r="M50" s="116">
        <f>SUM(L50:L$109)</f>
        <v>648260.40239126422</v>
      </c>
      <c r="N50" s="116">
        <f t="shared" si="16"/>
        <v>2.8996775811648323</v>
      </c>
      <c r="O50" s="116">
        <f>SUM(N50:N$109)</f>
        <v>85.471683196431869</v>
      </c>
      <c r="P50" s="115">
        <f>SUM(O50:O$109)</f>
        <v>1095.0787972692283</v>
      </c>
      <c r="R50" s="120">
        <v>42</v>
      </c>
      <c r="S50" s="119">
        <f t="shared" si="23"/>
        <v>99472.021502430813</v>
      </c>
      <c r="T50" s="119">
        <f t="shared" si="17"/>
        <v>69.16231142110189</v>
      </c>
      <c r="U50" s="118">
        <f t="shared" si="18"/>
        <v>6.9529411764705882E-4</v>
      </c>
      <c r="V50" s="117">
        <f t="shared" si="19"/>
        <v>0.99930470588235298</v>
      </c>
      <c r="W50" s="116">
        <f t="shared" si="20"/>
        <v>3925.5744058846035</v>
      </c>
      <c r="X50" s="116">
        <f>SUM(W50:W$109)</f>
        <v>51365.162376927365</v>
      </c>
      <c r="Y50" s="116">
        <f>SUM(X50:X$109)</f>
        <v>649002.21534669783</v>
      </c>
      <c r="Z50" s="116">
        <f t="shared" si="21"/>
        <v>2.5272488822198262</v>
      </c>
      <c r="AA50" s="116">
        <f>SUM(Z50:Z$109)</f>
        <v>84.615785367485913</v>
      </c>
      <c r="AB50" s="115">
        <f>SUM(AA50:AA$109)</f>
        <v>1123.017536192624</v>
      </c>
    </row>
    <row r="51" spans="2:28">
      <c r="B51" s="123">
        <v>43</v>
      </c>
      <c r="C51" s="147">
        <v>8.9882352941176474E-4</v>
      </c>
      <c r="D51" s="146">
        <v>7.9058823529411779E-4</v>
      </c>
      <c r="F51" s="120">
        <v>43</v>
      </c>
      <c r="G51" s="119">
        <f t="shared" si="22"/>
        <v>99259.774656617097</v>
      </c>
      <c r="H51" s="119">
        <f t="shared" si="12"/>
        <v>89.217020985477021</v>
      </c>
      <c r="I51" s="121">
        <f t="shared" si="13"/>
        <v>8.9882352941176474E-4</v>
      </c>
      <c r="J51" s="117">
        <f t="shared" si="14"/>
        <v>0.99910117647058827</v>
      </c>
      <c r="K51" s="116">
        <f t="shared" si="15"/>
        <v>3627.0354387518355</v>
      </c>
      <c r="L51" s="116">
        <f>SUM(K51:K$109)</f>
        <v>47362.379496583431</v>
      </c>
      <c r="M51" s="116">
        <f>SUM(L51:L$109)</f>
        <v>596977.69296904095</v>
      </c>
      <c r="N51" s="116">
        <f t="shared" si="16"/>
        <v>3.0185785132967351</v>
      </c>
      <c r="O51" s="116">
        <f>SUM(N51:N$109)</f>
        <v>82.572005615267045</v>
      </c>
      <c r="P51" s="115">
        <f>SUM(O51:O$109)</f>
        <v>1009.6071140727964</v>
      </c>
      <c r="R51" s="120">
        <v>43</v>
      </c>
      <c r="S51" s="119">
        <f t="shared" si="23"/>
        <v>99402.859191009717</v>
      </c>
      <c r="T51" s="119">
        <f t="shared" si="17"/>
        <v>78.586731031010046</v>
      </c>
      <c r="U51" s="118">
        <f t="shared" si="18"/>
        <v>7.9058823529411779E-4</v>
      </c>
      <c r="V51" s="117">
        <f t="shared" si="19"/>
        <v>0.9992094117647059</v>
      </c>
      <c r="W51" s="116">
        <f t="shared" si="20"/>
        <v>3632.2638676775982</v>
      </c>
      <c r="X51" s="116">
        <f>SUM(W51:W$109)</f>
        <v>47439.587971042776</v>
      </c>
      <c r="Y51" s="116">
        <f>SUM(X51:X$109)</f>
        <v>597637.05296977039</v>
      </c>
      <c r="Z51" s="116">
        <f t="shared" si="21"/>
        <v>2.65891211228687</v>
      </c>
      <c r="AA51" s="116">
        <f>SUM(Z51:Z$109)</f>
        <v>82.088536485266076</v>
      </c>
      <c r="AB51" s="115">
        <f>SUM(AA51:AA$109)</f>
        <v>1038.4017508251384</v>
      </c>
    </row>
    <row r="52" spans="2:28">
      <c r="B52" s="123">
        <v>44</v>
      </c>
      <c r="C52" s="147">
        <v>1.0105882352941177E-3</v>
      </c>
      <c r="D52" s="146">
        <v>8.9882352941176474E-4</v>
      </c>
      <c r="F52" s="120">
        <v>44</v>
      </c>
      <c r="G52" s="119">
        <f t="shared" si="22"/>
        <v>99170.557635631616</v>
      </c>
      <c r="H52" s="119">
        <f t="shared" si="12"/>
        <v>100.22059883412655</v>
      </c>
      <c r="I52" s="121">
        <f t="shared" si="13"/>
        <v>1.0105882352941177E-3</v>
      </c>
      <c r="J52" s="117">
        <f t="shared" si="14"/>
        <v>0.9989894117647059</v>
      </c>
      <c r="K52" s="116">
        <f t="shared" si="15"/>
        <v>3355.3475684791438</v>
      </c>
      <c r="L52" s="116">
        <f>SUM(K52:K$109)</f>
        <v>43735.3440578316</v>
      </c>
      <c r="M52" s="116">
        <f>SUM(L52:L$109)</f>
        <v>549615.3134724577</v>
      </c>
      <c r="N52" s="116">
        <f t="shared" si="16"/>
        <v>3.1396988685442087</v>
      </c>
      <c r="O52" s="116">
        <f>SUM(N52:N$109)</f>
        <v>79.553427101970314</v>
      </c>
      <c r="P52" s="115">
        <f>SUM(O52:O$109)</f>
        <v>927.03510845752942</v>
      </c>
      <c r="R52" s="120">
        <v>44</v>
      </c>
      <c r="S52" s="119">
        <f t="shared" si="23"/>
        <v>99324.272459978703</v>
      </c>
      <c r="T52" s="119">
        <f t="shared" si="17"/>
        <v>89.274993128733797</v>
      </c>
      <c r="U52" s="118">
        <f t="shared" si="18"/>
        <v>8.9882352941176474E-4</v>
      </c>
      <c r="V52" s="117">
        <f t="shared" si="19"/>
        <v>0.99910117647058827</v>
      </c>
      <c r="W52" s="116">
        <f t="shared" si="20"/>
        <v>3360.5483727743785</v>
      </c>
      <c r="X52" s="116">
        <f>SUM(W52:W$109)</f>
        <v>43807.324103365179</v>
      </c>
      <c r="Y52" s="116">
        <f>SUM(X52:X$109)</f>
        <v>550197.46499872766</v>
      </c>
      <c r="Z52" s="116">
        <f t="shared" si="21"/>
        <v>2.796796249237063</v>
      </c>
      <c r="AA52" s="116">
        <f>SUM(Z52:Z$109)</f>
        <v>79.429624372979191</v>
      </c>
      <c r="AB52" s="115">
        <f>SUM(AA52:AA$109)</f>
        <v>956.31321433987227</v>
      </c>
    </row>
    <row r="53" spans="2:28">
      <c r="B53" s="123">
        <v>45</v>
      </c>
      <c r="C53" s="147">
        <v>1.1305882352941176E-3</v>
      </c>
      <c r="D53" s="146">
        <v>1.0176470588235294E-3</v>
      </c>
      <c r="F53" s="120">
        <v>45</v>
      </c>
      <c r="G53" s="119">
        <f t="shared" si="22"/>
        <v>99070.337036797486</v>
      </c>
      <c r="H53" s="119">
        <f t="shared" si="12"/>
        <v>112.00775752042632</v>
      </c>
      <c r="I53" s="121">
        <f t="shared" si="13"/>
        <v>1.1305882352941176E-3</v>
      </c>
      <c r="J53" s="117">
        <f t="shared" si="14"/>
        <v>0.99886941176470589</v>
      </c>
      <c r="K53" s="116">
        <f t="shared" si="15"/>
        <v>3103.6636052788094</v>
      </c>
      <c r="L53" s="116">
        <f>SUM(K53:K$109)</f>
        <v>40379.996489352459</v>
      </c>
      <c r="M53" s="116">
        <f>SUM(L53:L$109)</f>
        <v>505879.96941462625</v>
      </c>
      <c r="N53" s="116">
        <f t="shared" si="16"/>
        <v>3.249042183739582</v>
      </c>
      <c r="O53" s="116">
        <f>SUM(N53:N$109)</f>
        <v>76.413728233426099</v>
      </c>
      <c r="P53" s="115">
        <f>SUM(O53:O$109)</f>
        <v>847.48168135555909</v>
      </c>
      <c r="R53" s="120">
        <v>45</v>
      </c>
      <c r="S53" s="119">
        <f t="shared" si="23"/>
        <v>99234.997466849964</v>
      </c>
      <c r="T53" s="119">
        <f t="shared" si="17"/>
        <v>100.98620330450025</v>
      </c>
      <c r="U53" s="118">
        <f t="shared" si="18"/>
        <v>1.0176470588235294E-3</v>
      </c>
      <c r="V53" s="117">
        <f t="shared" si="19"/>
        <v>0.99898235294117643</v>
      </c>
      <c r="W53" s="116">
        <f t="shared" si="20"/>
        <v>3108.8220674307413</v>
      </c>
      <c r="X53" s="116">
        <f>SUM(W53:W$109)</f>
        <v>40446.775730590787</v>
      </c>
      <c r="Y53" s="116">
        <f>SUM(X53:X$109)</f>
        <v>506390.1408953623</v>
      </c>
      <c r="Z53" s="116">
        <f t="shared" si="21"/>
        <v>2.9293366975246093</v>
      </c>
      <c r="AA53" s="116">
        <f>SUM(Z53:Z$109)</f>
        <v>76.632828123742129</v>
      </c>
      <c r="AB53" s="115">
        <f>SUM(AA53:AA$109)</f>
        <v>876.88358996689306</v>
      </c>
    </row>
    <row r="54" spans="2:28">
      <c r="B54" s="123">
        <v>46</v>
      </c>
      <c r="C54" s="147">
        <v>1.2564705882352944E-3</v>
      </c>
      <c r="D54" s="146">
        <v>1.1423529411764707E-3</v>
      </c>
      <c r="F54" s="120">
        <v>46</v>
      </c>
      <c r="G54" s="119">
        <f t="shared" si="22"/>
        <v>98958.329279277066</v>
      </c>
      <c r="H54" s="119">
        <f t="shared" si="12"/>
        <v>124.33823020031522</v>
      </c>
      <c r="I54" s="121">
        <f t="shared" si="13"/>
        <v>1.2564705882352944E-3</v>
      </c>
      <c r="J54" s="117">
        <f t="shared" si="14"/>
        <v>0.9987435294117647</v>
      </c>
      <c r="K54" s="116">
        <f t="shared" si="15"/>
        <v>2870.5135552966403</v>
      </c>
      <c r="L54" s="116">
        <f>SUM(K54:K$109)</f>
        <v>37276.33288407365</v>
      </c>
      <c r="M54" s="116">
        <f>SUM(L54:L$109)</f>
        <v>465499.97292527376</v>
      </c>
      <c r="N54" s="116">
        <f t="shared" si="16"/>
        <v>3.3395517179268106</v>
      </c>
      <c r="O54" s="116">
        <f>SUM(N54:N$109)</f>
        <v>73.164686049686523</v>
      </c>
      <c r="P54" s="115">
        <f>SUM(O54:O$109)</f>
        <v>771.06795312213296</v>
      </c>
      <c r="R54" s="120">
        <v>46</v>
      </c>
      <c r="S54" s="119">
        <f t="shared" si="23"/>
        <v>99134.011263545457</v>
      </c>
      <c r="T54" s="119">
        <f t="shared" si="17"/>
        <v>113.24602933753252</v>
      </c>
      <c r="U54" s="118">
        <f t="shared" si="18"/>
        <v>1.1423529411764707E-3</v>
      </c>
      <c r="V54" s="117">
        <f t="shared" si="19"/>
        <v>0.99885764705882352</v>
      </c>
      <c r="W54" s="116">
        <f t="shared" si="20"/>
        <v>2875.6096146272357</v>
      </c>
      <c r="X54" s="116">
        <f>SUM(W54:W$109)</f>
        <v>37337.953663160042</v>
      </c>
      <c r="Y54" s="116">
        <f>SUM(X54:X$109)</f>
        <v>465943.3651647715</v>
      </c>
      <c r="Z54" s="116">
        <f t="shared" si="21"/>
        <v>3.0416306490229257</v>
      </c>
      <c r="AA54" s="116">
        <f>SUM(Z54:Z$109)</f>
        <v>73.703491426217525</v>
      </c>
      <c r="AB54" s="115">
        <f>SUM(AA54:AA$109)</f>
        <v>800.25076184315105</v>
      </c>
    </row>
    <row r="55" spans="2:28">
      <c r="B55" s="123">
        <v>47</v>
      </c>
      <c r="C55" s="147">
        <v>1.3882352941176469E-3</v>
      </c>
      <c r="D55" s="146">
        <v>1.2764705882352943E-3</v>
      </c>
      <c r="F55" s="120">
        <v>47</v>
      </c>
      <c r="G55" s="119">
        <f t="shared" si="22"/>
        <v>98833.991049076751</v>
      </c>
      <c r="H55" s="119">
        <f t="shared" si="12"/>
        <v>137.20483463283594</v>
      </c>
      <c r="I55" s="121">
        <f t="shared" si="13"/>
        <v>1.3882352941176469E-3</v>
      </c>
      <c r="J55" s="117">
        <f t="shared" si="14"/>
        <v>0.99861176470588231</v>
      </c>
      <c r="K55" s="116">
        <f t="shared" si="15"/>
        <v>2654.543369853036</v>
      </c>
      <c r="L55" s="116">
        <f>SUM(K55:K$109)</f>
        <v>34405.819328777005</v>
      </c>
      <c r="M55" s="116">
        <f>SUM(L55:L$109)</f>
        <v>428223.64004120009</v>
      </c>
      <c r="N55" s="116">
        <f t="shared" si="16"/>
        <v>3.4121581442555362</v>
      </c>
      <c r="O55" s="116">
        <f>SUM(N55:N$109)</f>
        <v>69.825134331759713</v>
      </c>
      <c r="P55" s="115">
        <f>SUM(O55:O$109)</f>
        <v>697.9032670724464</v>
      </c>
      <c r="R55" s="120">
        <v>47</v>
      </c>
      <c r="S55" s="119">
        <f t="shared" si="23"/>
        <v>99020.765234207924</v>
      </c>
      <c r="T55" s="119">
        <f t="shared" si="17"/>
        <v>126.39709444601837</v>
      </c>
      <c r="U55" s="118">
        <f t="shared" si="18"/>
        <v>1.2764705882352943E-3</v>
      </c>
      <c r="V55" s="117">
        <f t="shared" si="19"/>
        <v>0.99872352941176468</v>
      </c>
      <c r="W55" s="116">
        <f t="shared" si="20"/>
        <v>2659.559864376195</v>
      </c>
      <c r="X55" s="116">
        <f>SUM(W55:W$109)</f>
        <v>34462.344048532796</v>
      </c>
      <c r="Y55" s="116">
        <f>SUM(X55:X$109)</f>
        <v>428605.41150161152</v>
      </c>
      <c r="Z55" s="116">
        <f t="shared" si="21"/>
        <v>3.143379578265983</v>
      </c>
      <c r="AA55" s="116">
        <f>SUM(Z55:Z$109)</f>
        <v>70.661860777194605</v>
      </c>
      <c r="AB55" s="115">
        <f>SUM(AA55:AA$109)</f>
        <v>726.54727041693354</v>
      </c>
    </row>
    <row r="56" spans="2:28">
      <c r="B56" s="123">
        <v>48</v>
      </c>
      <c r="C56" s="147">
        <v>1.5247058823529413E-3</v>
      </c>
      <c r="D56" s="146">
        <v>1.4176470588235296E-3</v>
      </c>
      <c r="F56" s="120">
        <v>48</v>
      </c>
      <c r="G56" s="119">
        <f t="shared" si="22"/>
        <v>98696.786214443913</v>
      </c>
      <c r="H56" s="119">
        <f t="shared" si="12"/>
        <v>150.48357051049331</v>
      </c>
      <c r="I56" s="121">
        <f t="shared" si="13"/>
        <v>1.5247058823529413E-3</v>
      </c>
      <c r="J56" s="117">
        <f t="shared" si="14"/>
        <v>0.99847529411764702</v>
      </c>
      <c r="K56" s="116">
        <f t="shared" si="15"/>
        <v>2454.4983694974444</v>
      </c>
      <c r="L56" s="116">
        <f>SUM(K56:K$109)</f>
        <v>31751.275958923958</v>
      </c>
      <c r="M56" s="116">
        <f>SUM(L56:L$109)</f>
        <v>393817.82071242307</v>
      </c>
      <c r="N56" s="116">
        <f t="shared" si="16"/>
        <v>3.4651741687022732</v>
      </c>
      <c r="O56" s="116">
        <f>SUM(N56:N$109)</f>
        <v>66.412976187504171</v>
      </c>
      <c r="P56" s="115">
        <f>SUM(O56:O$109)</f>
        <v>628.07813274068667</v>
      </c>
      <c r="R56" s="120">
        <v>48</v>
      </c>
      <c r="S56" s="119">
        <f t="shared" si="23"/>
        <v>98894.368139761908</v>
      </c>
      <c r="T56" s="119">
        <f t="shared" si="17"/>
        <v>140.19731012754482</v>
      </c>
      <c r="U56" s="118">
        <f t="shared" si="18"/>
        <v>1.4176470588235296E-3</v>
      </c>
      <c r="V56" s="117">
        <f t="shared" si="19"/>
        <v>0.99858235294117648</v>
      </c>
      <c r="W56" s="116">
        <f t="shared" si="20"/>
        <v>2459.4120503996928</v>
      </c>
      <c r="X56" s="116">
        <f>SUM(W56:W$109)</f>
        <v>31802.784184156597</v>
      </c>
      <c r="Y56" s="116">
        <f>SUM(X56:X$109)</f>
        <v>394143.06745307881</v>
      </c>
      <c r="Z56" s="116">
        <f t="shared" si="21"/>
        <v>3.2283132034113602</v>
      </c>
      <c r="AA56" s="116">
        <f>SUM(Z56:Z$109)</f>
        <v>67.518481198928626</v>
      </c>
      <c r="AB56" s="115">
        <f>SUM(AA56:AA$109)</f>
        <v>655.88540963973878</v>
      </c>
    </row>
    <row r="57" spans="2:28">
      <c r="B57" s="123">
        <v>49</v>
      </c>
      <c r="C57" s="147">
        <v>1.6741176470588235E-3</v>
      </c>
      <c r="D57" s="146">
        <v>1.5741176470588235E-3</v>
      </c>
      <c r="F57" s="120">
        <v>49</v>
      </c>
      <c r="G57" s="119">
        <f t="shared" si="22"/>
        <v>98546.302643933421</v>
      </c>
      <c r="H57" s="119">
        <f t="shared" si="12"/>
        <v>164.97810430860855</v>
      </c>
      <c r="I57" s="121">
        <f t="shared" si="13"/>
        <v>1.6741176470588235E-3</v>
      </c>
      <c r="J57" s="117">
        <f t="shared" si="14"/>
        <v>0.99832588235294117</v>
      </c>
      <c r="K57" s="116">
        <f t="shared" si="15"/>
        <v>2269.218501291894</v>
      </c>
      <c r="L57" s="116">
        <f>SUM(K57:K$109)</f>
        <v>29296.777589426514</v>
      </c>
      <c r="M57" s="116">
        <f>SUM(L57:L$109)</f>
        <v>362066.5447534991</v>
      </c>
      <c r="N57" s="116">
        <f t="shared" si="16"/>
        <v>3.5175358685603104</v>
      </c>
      <c r="O57" s="116">
        <f>SUM(N57:N$109)</f>
        <v>62.947802018801902</v>
      </c>
      <c r="P57" s="115">
        <f>SUM(O57:O$109)</f>
        <v>561.66515655318244</v>
      </c>
      <c r="R57" s="120">
        <v>49</v>
      </c>
      <c r="S57" s="119">
        <f t="shared" si="23"/>
        <v>98754.170829634357</v>
      </c>
      <c r="T57" s="119">
        <f t="shared" si="17"/>
        <v>155.45068302358914</v>
      </c>
      <c r="U57" s="118">
        <f t="shared" si="18"/>
        <v>1.5741176470588235E-3</v>
      </c>
      <c r="V57" s="117">
        <f t="shared" si="19"/>
        <v>0.99842588235294116</v>
      </c>
      <c r="W57" s="116">
        <f t="shared" si="20"/>
        <v>2274.0050667963033</v>
      </c>
      <c r="X57" s="116">
        <f>SUM(W57:W$109)</f>
        <v>29343.3721337569</v>
      </c>
      <c r="Y57" s="116">
        <f>SUM(X57:X$109)</f>
        <v>362340.28326892218</v>
      </c>
      <c r="Z57" s="116">
        <f t="shared" si="21"/>
        <v>3.3143995418011474</v>
      </c>
      <c r="AA57" s="116">
        <f>SUM(Z57:Z$109)</f>
        <v>64.290167995517265</v>
      </c>
      <c r="AB57" s="115">
        <f>SUM(AA57:AA$109)</f>
        <v>588.36692844081017</v>
      </c>
    </row>
    <row r="58" spans="2:28">
      <c r="B58" s="123">
        <v>50</v>
      </c>
      <c r="C58" s="147">
        <v>1.9270588235294117E-3</v>
      </c>
      <c r="D58" s="146">
        <v>1.8305882352941177E-3</v>
      </c>
      <c r="F58" s="120">
        <v>50</v>
      </c>
      <c r="G58" s="119">
        <f t="shared" si="22"/>
        <v>98381.324539624809</v>
      </c>
      <c r="H58" s="119">
        <f t="shared" si="12"/>
        <v>189.58659952459462</v>
      </c>
      <c r="I58" s="121">
        <f t="shared" si="13"/>
        <v>1.9270588235294117E-3</v>
      </c>
      <c r="J58" s="117">
        <f t="shared" si="14"/>
        <v>0.99807294117647061</v>
      </c>
      <c r="K58" s="116">
        <f t="shared" si="15"/>
        <v>2097.610706068378</v>
      </c>
      <c r="L58" s="116">
        <f>SUM(K58:K$109)</f>
        <v>27027.559088134622</v>
      </c>
      <c r="M58" s="116">
        <f>SUM(L58:L$109)</f>
        <v>332769.76716407266</v>
      </c>
      <c r="N58" s="116">
        <f t="shared" si="16"/>
        <v>3.7427955735729883</v>
      </c>
      <c r="O58" s="116">
        <f>SUM(N58:N$109)</f>
        <v>59.430266150241593</v>
      </c>
      <c r="P58" s="115">
        <f>SUM(O58:O$109)</f>
        <v>498.7173545343806</v>
      </c>
      <c r="R58" s="120">
        <v>50</v>
      </c>
      <c r="S58" s="119">
        <f t="shared" si="23"/>
        <v>98598.720146610765</v>
      </c>
      <c r="T58" s="119">
        <f t="shared" si="17"/>
        <v>180.49365711544277</v>
      </c>
      <c r="U58" s="118">
        <f t="shared" si="18"/>
        <v>1.8305882352941177E-3</v>
      </c>
      <c r="V58" s="117">
        <f t="shared" si="19"/>
        <v>0.99816941176470586</v>
      </c>
      <c r="W58" s="116">
        <f t="shared" si="20"/>
        <v>2102.2458474918126</v>
      </c>
      <c r="X58" s="116">
        <f>SUM(W58:W$109)</f>
        <v>27069.3670669606</v>
      </c>
      <c r="Y58" s="116">
        <f>SUM(X58:X$109)</f>
        <v>332996.91113516525</v>
      </c>
      <c r="Z58" s="116">
        <f t="shared" si="21"/>
        <v>3.5632838112170599</v>
      </c>
      <c r="AA58" s="116">
        <f>SUM(Z58:Z$109)</f>
        <v>60.975768453716121</v>
      </c>
      <c r="AB58" s="115">
        <f>SUM(AA58:AA$109)</f>
        <v>524.07676044529285</v>
      </c>
    </row>
    <row r="59" spans="2:28">
      <c r="B59" s="123">
        <v>51</v>
      </c>
      <c r="C59" s="147">
        <v>2.1070588235294115E-3</v>
      </c>
      <c r="D59" s="146">
        <v>2.0235294117647057E-3</v>
      </c>
      <c r="F59" s="120">
        <v>51</v>
      </c>
      <c r="G59" s="119">
        <f t="shared" si="22"/>
        <v>98191.737940100211</v>
      </c>
      <c r="H59" s="119">
        <f t="shared" si="12"/>
        <v>206.89576782437584</v>
      </c>
      <c r="I59" s="121">
        <f t="shared" si="13"/>
        <v>2.1070588235294115E-3</v>
      </c>
      <c r="J59" s="117">
        <f t="shared" si="14"/>
        <v>0.99789294117647054</v>
      </c>
      <c r="K59" s="116">
        <f t="shared" si="15"/>
        <v>1938.4893396749253</v>
      </c>
      <c r="L59" s="116">
        <f>SUM(K59:K$109)</f>
        <v>24929.948382066243</v>
      </c>
      <c r="M59" s="116">
        <f>SUM(L59:L$109)</f>
        <v>305742.20807593811</v>
      </c>
      <c r="N59" s="116">
        <f t="shared" si="16"/>
        <v>3.7819546921108835</v>
      </c>
      <c r="O59" s="116">
        <f>SUM(N59:N$109)</f>
        <v>55.687470576668609</v>
      </c>
      <c r="P59" s="115">
        <f>SUM(O59:O$109)</f>
        <v>439.28708838413905</v>
      </c>
      <c r="R59" s="120">
        <v>51</v>
      </c>
      <c r="S59" s="119">
        <f t="shared" si="23"/>
        <v>98418.226489495326</v>
      </c>
      <c r="T59" s="119">
        <f t="shared" si="17"/>
        <v>199.15217595521406</v>
      </c>
      <c r="U59" s="118">
        <f t="shared" si="18"/>
        <v>2.0235294117647057E-3</v>
      </c>
      <c r="V59" s="117">
        <f t="shared" si="19"/>
        <v>0.99797647058823524</v>
      </c>
      <c r="W59" s="116">
        <f t="shared" si="20"/>
        <v>1942.9606490515728</v>
      </c>
      <c r="X59" s="116">
        <f>SUM(W59:W$109)</f>
        <v>24967.121219468791</v>
      </c>
      <c r="Y59" s="116">
        <f>SUM(X59:X$109)</f>
        <v>305927.54406820459</v>
      </c>
      <c r="Z59" s="116">
        <f t="shared" si="21"/>
        <v>3.6404055733863885</v>
      </c>
      <c r="AA59" s="116">
        <f>SUM(Z59:Z$109)</f>
        <v>57.412484642499059</v>
      </c>
      <c r="AB59" s="115">
        <f>SUM(AA59:AA$109)</f>
        <v>463.10099199157673</v>
      </c>
    </row>
    <row r="60" spans="2:28">
      <c r="B60" s="123">
        <v>52</v>
      </c>
      <c r="C60" s="147">
        <v>2.3000000000000004E-3</v>
      </c>
      <c r="D60" s="146">
        <v>2.2305882352941175E-3</v>
      </c>
      <c r="F60" s="120">
        <v>52</v>
      </c>
      <c r="G60" s="119">
        <f t="shared" si="22"/>
        <v>97984.842172275836</v>
      </c>
      <c r="H60" s="119">
        <f t="shared" si="12"/>
        <v>225.36513699623447</v>
      </c>
      <c r="I60" s="121">
        <f t="shared" si="13"/>
        <v>2.3000000000000004E-3</v>
      </c>
      <c r="J60" s="117">
        <f t="shared" si="14"/>
        <v>0.99770000000000003</v>
      </c>
      <c r="K60" s="116">
        <f t="shared" si="15"/>
        <v>1791.115582043931</v>
      </c>
      <c r="L60" s="116">
        <f>SUM(K60:K$109)</f>
        <v>22991.459042391318</v>
      </c>
      <c r="M60" s="116">
        <f>SUM(L60:L$109)</f>
        <v>280812.25969387189</v>
      </c>
      <c r="N60" s="116">
        <f t="shared" si="16"/>
        <v>3.8144128136120754</v>
      </c>
      <c r="O60" s="116">
        <f>SUM(N60:N$109)</f>
        <v>51.905515884557722</v>
      </c>
      <c r="P60" s="115">
        <f>SUM(O60:O$109)</f>
        <v>383.59961780747045</v>
      </c>
      <c r="R60" s="120">
        <v>52</v>
      </c>
      <c r="S60" s="119">
        <f t="shared" si="23"/>
        <v>98219.074313540114</v>
      </c>
      <c r="T60" s="119">
        <f t="shared" si="17"/>
        <v>219.08631164526122</v>
      </c>
      <c r="U60" s="118">
        <f t="shared" si="18"/>
        <v>2.2305882352941175E-3</v>
      </c>
      <c r="V60" s="117">
        <f t="shared" si="19"/>
        <v>0.9977694117647059</v>
      </c>
      <c r="W60" s="116">
        <f t="shared" si="20"/>
        <v>1795.397232437329</v>
      </c>
      <c r="X60" s="116">
        <f>SUM(W60:W$109)</f>
        <v>23024.160570417218</v>
      </c>
      <c r="Y60" s="116">
        <f>SUM(X60:X$109)</f>
        <v>280960.42284873582</v>
      </c>
      <c r="Z60" s="116">
        <f t="shared" si="21"/>
        <v>3.7081406892169659</v>
      </c>
      <c r="AA60" s="116">
        <f>SUM(Z60:Z$109)</f>
        <v>53.772079069112671</v>
      </c>
      <c r="AB60" s="115">
        <f>SUM(AA60:AA$109)</f>
        <v>405.68850734907767</v>
      </c>
    </row>
    <row r="61" spans="2:28">
      <c r="B61" s="123">
        <v>53</v>
      </c>
      <c r="C61" s="147">
        <v>2.5000000000000001E-3</v>
      </c>
      <c r="D61" s="146">
        <v>2.4494117647058818E-3</v>
      </c>
      <c r="F61" s="120">
        <v>53</v>
      </c>
      <c r="G61" s="119">
        <f t="shared" si="22"/>
        <v>97759.477035279604</v>
      </c>
      <c r="H61" s="119">
        <f t="shared" si="12"/>
        <v>244.39869258819903</v>
      </c>
      <c r="I61" s="121">
        <f t="shared" si="13"/>
        <v>2.5000000000000001E-3</v>
      </c>
      <c r="J61" s="117">
        <f t="shared" si="14"/>
        <v>0.99750000000000005</v>
      </c>
      <c r="K61" s="116">
        <f t="shared" si="15"/>
        <v>1654.6259409307684</v>
      </c>
      <c r="L61" s="116">
        <f>SUM(K61:K$109)</f>
        <v>21200.343460347387</v>
      </c>
      <c r="M61" s="116">
        <f>SUM(L61:L$109)</f>
        <v>257820.80065148062</v>
      </c>
      <c r="N61" s="116">
        <f t="shared" si="16"/>
        <v>3.830152641043445</v>
      </c>
      <c r="O61" s="116">
        <f>SUM(N61:N$109)</f>
        <v>48.09110307094565</v>
      </c>
      <c r="P61" s="115">
        <f>SUM(O61:O$109)</f>
        <v>331.69410192291269</v>
      </c>
      <c r="R61" s="120">
        <v>53</v>
      </c>
      <c r="S61" s="119">
        <f t="shared" si="23"/>
        <v>97999.988001894846</v>
      </c>
      <c r="T61" s="119">
        <f t="shared" si="17"/>
        <v>240.0423235528765</v>
      </c>
      <c r="U61" s="118">
        <f t="shared" si="18"/>
        <v>2.4494117647058818E-3</v>
      </c>
      <c r="V61" s="117">
        <f t="shared" si="19"/>
        <v>0.99755058823529408</v>
      </c>
      <c r="W61" s="116">
        <f t="shared" si="20"/>
        <v>1658.6967041601613</v>
      </c>
      <c r="X61" s="116">
        <f>SUM(W61:W$109)</f>
        <v>21228.76333797989</v>
      </c>
      <c r="Y61" s="116">
        <f>SUM(X61:X$109)</f>
        <v>257936.26227831867</v>
      </c>
      <c r="Z61" s="116">
        <f t="shared" si="21"/>
        <v>3.761880760415528</v>
      </c>
      <c r="AA61" s="116">
        <f>SUM(Z61:Z$109)</f>
        <v>50.06393837989571</v>
      </c>
      <c r="AB61" s="115">
        <f>SUM(AA61:AA$109)</f>
        <v>351.91642827996498</v>
      </c>
    </row>
    <row r="62" spans="2:28">
      <c r="B62" s="123">
        <v>54</v>
      </c>
      <c r="C62" s="147">
        <v>2.7070588235294118E-3</v>
      </c>
      <c r="D62" s="146">
        <v>2.6800000000000001E-3</v>
      </c>
      <c r="F62" s="120">
        <v>54</v>
      </c>
      <c r="G62" s="119">
        <f t="shared" si="22"/>
        <v>97515.078342691399</v>
      </c>
      <c r="H62" s="119">
        <f t="shared" si="12"/>
        <v>263.9790532547446</v>
      </c>
      <c r="I62" s="121">
        <f t="shared" si="13"/>
        <v>2.7070588235294118E-3</v>
      </c>
      <c r="J62" s="117">
        <f t="shared" si="14"/>
        <v>0.9972929411764706</v>
      </c>
      <c r="K62" s="116">
        <f t="shared" si="15"/>
        <v>1528.2309037763343</v>
      </c>
      <c r="L62" s="116">
        <f>SUM(K62:K$109)</f>
        <v>19545.717519416616</v>
      </c>
      <c r="M62" s="116">
        <f>SUM(L62:L$109)</f>
        <v>236620.45719113323</v>
      </c>
      <c r="N62" s="116">
        <f t="shared" si="16"/>
        <v>3.8305656967204191</v>
      </c>
      <c r="O62" s="116">
        <f>SUM(N62:N$109)</f>
        <v>44.260950429902209</v>
      </c>
      <c r="P62" s="115">
        <f>SUM(O62:O$109)</f>
        <v>283.60299885196707</v>
      </c>
      <c r="R62" s="120">
        <v>54</v>
      </c>
      <c r="S62" s="119">
        <f t="shared" si="23"/>
        <v>97759.945678341974</v>
      </c>
      <c r="T62" s="119">
        <f t="shared" si="17"/>
        <v>261.99665441795651</v>
      </c>
      <c r="U62" s="118">
        <f t="shared" si="18"/>
        <v>2.6800000000000001E-3</v>
      </c>
      <c r="V62" s="117">
        <f t="shared" si="19"/>
        <v>0.99731999999999998</v>
      </c>
      <c r="W62" s="116">
        <f t="shared" si="20"/>
        <v>1532.0684008693634</v>
      </c>
      <c r="X62" s="116">
        <f>SUM(W62:W$109)</f>
        <v>19570.06663381973</v>
      </c>
      <c r="Y62" s="116">
        <f>SUM(X62:X$109)</f>
        <v>236707.49894033876</v>
      </c>
      <c r="Z62" s="116">
        <f t="shared" si="21"/>
        <v>3.8017993651202717</v>
      </c>
      <c r="AA62" s="116">
        <f>SUM(Z62:Z$109)</f>
        <v>46.302057619480181</v>
      </c>
      <c r="AB62" s="115">
        <f>SUM(AA62:AA$109)</f>
        <v>301.85248990006932</v>
      </c>
    </row>
    <row r="63" spans="2:28">
      <c r="B63" s="123">
        <v>55</v>
      </c>
      <c r="C63" s="147">
        <v>2.9188235294117645E-3</v>
      </c>
      <c r="D63" s="146">
        <v>2.9188235294117645E-3</v>
      </c>
      <c r="F63" s="120">
        <v>55</v>
      </c>
      <c r="G63" s="119">
        <f t="shared" si="22"/>
        <v>97251.09928943665</v>
      </c>
      <c r="H63" s="119">
        <f t="shared" si="12"/>
        <v>283.85879686716743</v>
      </c>
      <c r="I63" s="121">
        <f t="shared" si="13"/>
        <v>2.9188235294117645E-3</v>
      </c>
      <c r="J63" s="117">
        <f t="shared" si="14"/>
        <v>0.99708117647058825</v>
      </c>
      <c r="K63" s="116">
        <f t="shared" si="15"/>
        <v>1411.1980489109962</v>
      </c>
      <c r="L63" s="116">
        <f>SUM(K63:K$109)</f>
        <v>18017.486615640279</v>
      </c>
      <c r="M63" s="116">
        <f>SUM(L63:L$109)</f>
        <v>217074.73967171658</v>
      </c>
      <c r="N63" s="116">
        <f t="shared" si="16"/>
        <v>3.8139241387235097</v>
      </c>
      <c r="O63" s="116">
        <f>SUM(N63:N$109)</f>
        <v>40.430384733181789</v>
      </c>
      <c r="P63" s="115">
        <f>SUM(O63:O$109)</f>
        <v>239.34204842206478</v>
      </c>
      <c r="R63" s="120">
        <v>55</v>
      </c>
      <c r="S63" s="119">
        <f t="shared" si="23"/>
        <v>97497.949023924011</v>
      </c>
      <c r="T63" s="119">
        <f t="shared" si="17"/>
        <v>284.5793076804182</v>
      </c>
      <c r="U63" s="118">
        <f t="shared" si="18"/>
        <v>2.9188235294117645E-3</v>
      </c>
      <c r="V63" s="117">
        <f t="shared" si="19"/>
        <v>0.99708117647058825</v>
      </c>
      <c r="W63" s="116">
        <f t="shared" si="20"/>
        <v>1414.7800532916974</v>
      </c>
      <c r="X63" s="116">
        <f>SUM(W63:W$109)</f>
        <v>18037.998232950362</v>
      </c>
      <c r="Y63" s="116">
        <f>SUM(X63:X$109)</f>
        <v>217137.43230651904</v>
      </c>
      <c r="Z63" s="116">
        <f t="shared" si="21"/>
        <v>3.8236049152687377</v>
      </c>
      <c r="AA63" s="116">
        <f>SUM(Z63:Z$109)</f>
        <v>42.500258254359906</v>
      </c>
      <c r="AB63" s="115">
        <f>SUM(AA63:AA$109)</f>
        <v>255.55043228058915</v>
      </c>
    </row>
    <row r="64" spans="2:28">
      <c r="B64" s="123">
        <v>56</v>
      </c>
      <c r="C64" s="147">
        <v>3.1423529411764698E-3</v>
      </c>
      <c r="D64" s="146">
        <v>3.1741176470588238E-3</v>
      </c>
      <c r="F64" s="120">
        <v>56</v>
      </c>
      <c r="G64" s="119">
        <f t="shared" si="22"/>
        <v>96967.240492569486</v>
      </c>
      <c r="H64" s="119">
        <f t="shared" si="12"/>
        <v>304.70529335959179</v>
      </c>
      <c r="I64" s="121">
        <f t="shared" si="13"/>
        <v>3.1423529411764698E-3</v>
      </c>
      <c r="J64" s="117">
        <f t="shared" si="14"/>
        <v>0.99685764705882351</v>
      </c>
      <c r="K64" s="116">
        <f t="shared" si="15"/>
        <v>1302.8509359640509</v>
      </c>
      <c r="L64" s="116">
        <f>SUM(K64:K$109)</f>
        <v>16606.288566729283</v>
      </c>
      <c r="M64" s="116">
        <f>SUM(L64:L$109)</f>
        <v>199057.25305607627</v>
      </c>
      <c r="N64" s="116">
        <f t="shared" si="16"/>
        <v>3.7907569171677324</v>
      </c>
      <c r="O64" s="116">
        <f>SUM(N64:N$109)</f>
        <v>36.616460594458275</v>
      </c>
      <c r="P64" s="115">
        <f>SUM(O64:O$109)</f>
        <v>198.91166368888301</v>
      </c>
      <c r="R64" s="120">
        <v>56</v>
      </c>
      <c r="S64" s="119">
        <f t="shared" si="23"/>
        <v>97213.3697162436</v>
      </c>
      <c r="T64" s="119">
        <f t="shared" si="17"/>
        <v>308.56667234638263</v>
      </c>
      <c r="U64" s="118">
        <f t="shared" si="18"/>
        <v>3.1741176470588238E-3</v>
      </c>
      <c r="V64" s="117">
        <f t="shared" si="19"/>
        <v>0.99682588235294123</v>
      </c>
      <c r="W64" s="116">
        <f t="shared" si="20"/>
        <v>1306.1579259103771</v>
      </c>
      <c r="X64" s="116">
        <f>SUM(W64:W$109)</f>
        <v>16623.218179658663</v>
      </c>
      <c r="Y64" s="116">
        <f>SUM(X64:X$109)</f>
        <v>199099.43407356864</v>
      </c>
      <c r="Z64" s="116">
        <f t="shared" si="21"/>
        <v>3.8387952985906284</v>
      </c>
      <c r="AA64" s="116">
        <f>SUM(Z64:Z$109)</f>
        <v>38.676653339091168</v>
      </c>
      <c r="AB64" s="115">
        <f>SUM(AA64:AA$109)</f>
        <v>213.05017402622923</v>
      </c>
    </row>
    <row r="65" spans="2:28">
      <c r="B65" s="123">
        <v>57</v>
      </c>
      <c r="C65" s="147">
        <v>3.3823529411764705E-3</v>
      </c>
      <c r="D65" s="146">
        <v>3.4494117647058827E-3</v>
      </c>
      <c r="F65" s="120">
        <v>57</v>
      </c>
      <c r="G65" s="119">
        <f t="shared" si="22"/>
        <v>96662.535199209888</v>
      </c>
      <c r="H65" s="119">
        <f t="shared" si="12"/>
        <v>326.94681023262166</v>
      </c>
      <c r="I65" s="121">
        <f t="shared" si="13"/>
        <v>3.3823529411764705E-3</v>
      </c>
      <c r="J65" s="117">
        <f t="shared" si="14"/>
        <v>0.9966176470588235</v>
      </c>
      <c r="K65" s="116">
        <f t="shared" si="15"/>
        <v>1202.552702308805</v>
      </c>
      <c r="L65" s="116">
        <f>SUM(K65:K$109)</f>
        <v>15303.437630765231</v>
      </c>
      <c r="M65" s="116">
        <f>SUM(L65:L$109)</f>
        <v>182450.96448934701</v>
      </c>
      <c r="N65" s="116">
        <f t="shared" si="16"/>
        <v>3.7661645088647213</v>
      </c>
      <c r="O65" s="116">
        <f>SUM(N65:N$109)</f>
        <v>32.825703677290548</v>
      </c>
      <c r="P65" s="115">
        <f>SUM(O65:O$109)</f>
        <v>162.29520309442475</v>
      </c>
      <c r="R65" s="120">
        <v>57</v>
      </c>
      <c r="S65" s="119">
        <f t="shared" si="23"/>
        <v>96904.80304389722</v>
      </c>
      <c r="T65" s="119">
        <f t="shared" si="17"/>
        <v>334.26456767612552</v>
      </c>
      <c r="U65" s="118">
        <f t="shared" si="18"/>
        <v>3.4494117647058827E-3</v>
      </c>
      <c r="V65" s="117">
        <f t="shared" si="19"/>
        <v>0.99655058823529408</v>
      </c>
      <c r="W65" s="116">
        <f t="shared" si="20"/>
        <v>1205.5666916554621</v>
      </c>
      <c r="X65" s="116">
        <f>SUM(W65:W$109)</f>
        <v>15317.060253748288</v>
      </c>
      <c r="Y65" s="116">
        <f>SUM(X65:X$109)</f>
        <v>182476.21589391</v>
      </c>
      <c r="Z65" s="116">
        <f t="shared" si="21"/>
        <v>3.8504591938276858</v>
      </c>
      <c r="AA65" s="116">
        <f>SUM(Z65:Z$109)</f>
        <v>34.837858040500535</v>
      </c>
      <c r="AB65" s="115">
        <f>SUM(AA65:AA$109)</f>
        <v>174.37352068713804</v>
      </c>
    </row>
    <row r="66" spans="2:28">
      <c r="B66" s="123">
        <v>58</v>
      </c>
      <c r="C66" s="147">
        <v>3.6341176470588237E-3</v>
      </c>
      <c r="D66" s="146">
        <v>3.7435294117647059E-3</v>
      </c>
      <c r="F66" s="120">
        <v>58</v>
      </c>
      <c r="G66" s="119">
        <f t="shared" si="22"/>
        <v>96335.588388977267</v>
      </c>
      <c r="H66" s="119">
        <f t="shared" si="12"/>
        <v>350.09486180417741</v>
      </c>
      <c r="I66" s="121">
        <f t="shared" si="13"/>
        <v>3.6341176470588237E-3</v>
      </c>
      <c r="J66" s="117">
        <f t="shared" si="14"/>
        <v>0.99636588235294121</v>
      </c>
      <c r="K66" s="116">
        <f t="shared" si="15"/>
        <v>1109.7085598511399</v>
      </c>
      <c r="L66" s="116">
        <f>SUM(K66:K$109)</f>
        <v>14100.884928456428</v>
      </c>
      <c r="M66" s="116">
        <f>SUM(L66:L$109)</f>
        <v>167147.52685858172</v>
      </c>
      <c r="N66" s="116">
        <f t="shared" si="16"/>
        <v>3.7340846855993144</v>
      </c>
      <c r="O66" s="116">
        <f>SUM(N66:N$109)</f>
        <v>29.059539168425822</v>
      </c>
      <c r="P66" s="115">
        <f>SUM(O66:O$109)</f>
        <v>129.46949941713422</v>
      </c>
      <c r="R66" s="120">
        <v>58</v>
      </c>
      <c r="S66" s="119">
        <f t="shared" si="23"/>
        <v>96570.538476221089</v>
      </c>
      <c r="T66" s="119">
        <f t="shared" si="17"/>
        <v>361.51465109568881</v>
      </c>
      <c r="U66" s="118">
        <f t="shared" si="18"/>
        <v>3.7435294117647059E-3</v>
      </c>
      <c r="V66" s="117">
        <f t="shared" si="19"/>
        <v>0.9962564705882353</v>
      </c>
      <c r="W66" s="116">
        <f t="shared" si="20"/>
        <v>1112.4149960427112</v>
      </c>
      <c r="X66" s="116">
        <f>SUM(W66:W$109)</f>
        <v>14111.493562092826</v>
      </c>
      <c r="Y66" s="116">
        <f>SUM(X66:X$109)</f>
        <v>167159.15564016174</v>
      </c>
      <c r="Z66" s="116">
        <f t="shared" si="21"/>
        <v>3.8558872738648216</v>
      </c>
      <c r="AA66" s="116">
        <f>SUM(Z66:Z$109)</f>
        <v>30.987398846672853</v>
      </c>
      <c r="AB66" s="115">
        <f>SUM(AA66:AA$109)</f>
        <v>139.53566264663755</v>
      </c>
    </row>
    <row r="67" spans="2:28">
      <c r="B67" s="123">
        <v>59</v>
      </c>
      <c r="C67" s="147">
        <v>3.9105882352941171E-3</v>
      </c>
      <c r="D67" s="146">
        <v>4.0670588235294115E-3</v>
      </c>
      <c r="F67" s="120">
        <v>59</v>
      </c>
      <c r="G67" s="119">
        <f t="shared" si="22"/>
        <v>95985.493527173094</v>
      </c>
      <c r="H67" s="119">
        <f t="shared" si="12"/>
        <v>375.35974174626273</v>
      </c>
      <c r="I67" s="121">
        <f t="shared" si="13"/>
        <v>3.9105882352941171E-3</v>
      </c>
      <c r="J67" s="117">
        <f t="shared" si="14"/>
        <v>0.99608941176470589</v>
      </c>
      <c r="K67" s="116">
        <f t="shared" si="15"/>
        <v>1023.7738411024931</v>
      </c>
      <c r="L67" s="116">
        <f>SUM(K67:K$109)</f>
        <v>12991.176368605287</v>
      </c>
      <c r="M67" s="116">
        <f>SUM(L67:L$109)</f>
        <v>153046.6419301253</v>
      </c>
      <c r="N67" s="116">
        <f t="shared" si="16"/>
        <v>3.7069980913122951</v>
      </c>
      <c r="O67" s="116">
        <f>SUM(N67:N$109)</f>
        <v>25.325454482826508</v>
      </c>
      <c r="P67" s="115">
        <f>SUM(O67:O$109)</f>
        <v>100.40996024870839</v>
      </c>
      <c r="R67" s="120">
        <v>59</v>
      </c>
      <c r="S67" s="119">
        <f t="shared" si="23"/>
        <v>96209.023825125405</v>
      </c>
      <c r="T67" s="119">
        <f t="shared" si="17"/>
        <v>391.28775925112762</v>
      </c>
      <c r="U67" s="118">
        <f t="shared" si="18"/>
        <v>4.0670588235294115E-3</v>
      </c>
      <c r="V67" s="117">
        <f t="shared" si="19"/>
        <v>0.99593294117647058</v>
      </c>
      <c r="W67" s="116">
        <f t="shared" si="20"/>
        <v>1026.1579979508676</v>
      </c>
      <c r="X67" s="116">
        <f>SUM(W67:W$109)</f>
        <v>12999.078566050115</v>
      </c>
      <c r="Y67" s="116">
        <f>SUM(X67:X$109)</f>
        <v>153047.66207806891</v>
      </c>
      <c r="Z67" s="116">
        <f t="shared" si="21"/>
        <v>3.8643008702790298</v>
      </c>
      <c r="AA67" s="116">
        <f>SUM(Z67:Z$109)</f>
        <v>27.13151157280803</v>
      </c>
      <c r="AB67" s="115">
        <f>SUM(AA67:AA$109)</f>
        <v>108.54826379996469</v>
      </c>
    </row>
    <row r="68" spans="2:28">
      <c r="B68" s="123">
        <v>60</v>
      </c>
      <c r="C68" s="147">
        <v>4.2105882352941179E-3</v>
      </c>
      <c r="D68" s="146">
        <v>4.4211764705882357E-3</v>
      </c>
      <c r="F68" s="120">
        <v>60</v>
      </c>
      <c r="G68" s="119">
        <f t="shared" si="22"/>
        <v>95610.133785426835</v>
      </c>
      <c r="H68" s="119">
        <f t="shared" si="12"/>
        <v>402.57490449181489</v>
      </c>
      <c r="I68" s="121">
        <f t="shared" si="13"/>
        <v>4.2105882352941179E-3</v>
      </c>
      <c r="J68" s="117">
        <f t="shared" si="14"/>
        <v>0.99578941176470592</v>
      </c>
      <c r="K68" s="116">
        <f t="shared" si="15"/>
        <v>944.23174367025558</v>
      </c>
      <c r="L68" s="116">
        <f>SUM(K68:K$109)</f>
        <v>11967.402527502796</v>
      </c>
      <c r="M68" s="116">
        <f>SUM(L68:L$109)</f>
        <v>140055.46556152002</v>
      </c>
      <c r="N68" s="116">
        <f t="shared" si="16"/>
        <v>3.6812695104529882</v>
      </c>
      <c r="O68" s="116">
        <f>SUM(N68:N$109)</f>
        <v>21.618456391514211</v>
      </c>
      <c r="P68" s="115">
        <f>SUM(O68:O$109)</f>
        <v>75.084505765881886</v>
      </c>
      <c r="R68" s="120">
        <v>60</v>
      </c>
      <c r="S68" s="119">
        <f t="shared" si="23"/>
        <v>95817.736065874284</v>
      </c>
      <c r="T68" s="119">
        <f t="shared" si="17"/>
        <v>423.62712015947716</v>
      </c>
      <c r="U68" s="118">
        <f t="shared" si="18"/>
        <v>4.4211764705882357E-3</v>
      </c>
      <c r="V68" s="117">
        <f t="shared" si="19"/>
        <v>0.99557882352941174</v>
      </c>
      <c r="W68" s="116">
        <f t="shared" si="20"/>
        <v>946.28199352867273</v>
      </c>
      <c r="X68" s="116">
        <f>SUM(W68:W$109)</f>
        <v>11972.920568099247</v>
      </c>
      <c r="Y68" s="116">
        <f>SUM(X68:X$109)</f>
        <v>140048.58351201881</v>
      </c>
      <c r="Z68" s="116">
        <f t="shared" si="21"/>
        <v>3.8737774854910141</v>
      </c>
      <c r="AA68" s="116">
        <f>SUM(Z68:Z$109)</f>
        <v>23.267210702529002</v>
      </c>
      <c r="AB68" s="115">
        <f>SUM(AA68:AA$109)</f>
        <v>81.41675222715665</v>
      </c>
    </row>
    <row r="69" spans="2:28">
      <c r="B69" s="123">
        <v>61</v>
      </c>
      <c r="C69" s="147">
        <v>4.5329411764705885E-3</v>
      </c>
      <c r="D69" s="146">
        <v>4.8058823529411763E-3</v>
      </c>
      <c r="F69" s="120">
        <v>61</v>
      </c>
      <c r="G69" s="119">
        <f t="shared" si="22"/>
        <v>95207.558880935016</v>
      </c>
      <c r="H69" s="119">
        <f t="shared" si="12"/>
        <v>431.57026396263842</v>
      </c>
      <c r="I69" s="121">
        <f t="shared" si="13"/>
        <v>4.5329411764705885E-3</v>
      </c>
      <c r="J69" s="117">
        <f t="shared" si="14"/>
        <v>0.99546705882352937</v>
      </c>
      <c r="K69" s="116">
        <f t="shared" si="15"/>
        <v>870.60738203607957</v>
      </c>
      <c r="L69" s="116">
        <f>SUM(K69:K$109)</f>
        <v>11023.170783832542</v>
      </c>
      <c r="M69" s="116">
        <f>SUM(L69:L$109)</f>
        <v>128088.06303401725</v>
      </c>
      <c r="N69" s="116">
        <f t="shared" si="16"/>
        <v>3.6540852320098205</v>
      </c>
      <c r="O69" s="116">
        <f>SUM(N69:N$109)</f>
        <v>17.937186881061226</v>
      </c>
      <c r="P69" s="115">
        <f>SUM(O69:O$109)</f>
        <v>53.466049374367664</v>
      </c>
      <c r="R69" s="120">
        <v>61</v>
      </c>
      <c r="S69" s="119">
        <f t="shared" si="23"/>
        <v>95394.108945714805</v>
      </c>
      <c r="T69" s="119">
        <f t="shared" si="17"/>
        <v>458.4528647567588</v>
      </c>
      <c r="U69" s="118">
        <f t="shared" si="18"/>
        <v>4.8058823529411763E-3</v>
      </c>
      <c r="V69" s="117">
        <f t="shared" si="19"/>
        <v>0.99519411764705878</v>
      </c>
      <c r="W69" s="116">
        <f t="shared" si="20"/>
        <v>872.31325355957597</v>
      </c>
      <c r="X69" s="116">
        <f>SUM(W69:W$109)</f>
        <v>11026.638574570576</v>
      </c>
      <c r="Y69" s="116">
        <f>SUM(X69:X$109)</f>
        <v>128075.66294391948</v>
      </c>
      <c r="Z69" s="116">
        <f t="shared" si="21"/>
        <v>3.8816989551098784</v>
      </c>
      <c r="AA69" s="116">
        <f>SUM(Z69:Z$109)</f>
        <v>19.393433217037984</v>
      </c>
      <c r="AB69" s="115">
        <f>SUM(AA69:AA$109)</f>
        <v>58.149541524627644</v>
      </c>
    </row>
    <row r="70" spans="2:28">
      <c r="B70" s="123">
        <v>62</v>
      </c>
      <c r="C70" s="147">
        <v>4.8776470588235291E-3</v>
      </c>
      <c r="D70" s="146">
        <v>5.2188235294117645E-3</v>
      </c>
      <c r="F70" s="120">
        <v>62</v>
      </c>
      <c r="G70" s="119">
        <f t="shared" si="22"/>
        <v>94775.988616972376</v>
      </c>
      <c r="H70" s="119">
        <f t="shared" si="12"/>
        <v>462.28382212466761</v>
      </c>
      <c r="I70" s="121">
        <f t="shared" si="13"/>
        <v>4.8776470588235291E-3</v>
      </c>
      <c r="J70" s="117">
        <f t="shared" si="14"/>
        <v>0.99512235294117646</v>
      </c>
      <c r="K70" s="116">
        <f t="shared" si="15"/>
        <v>802.46386109769355</v>
      </c>
      <c r="L70" s="116">
        <f>SUM(K70:K$109)</f>
        <v>10152.56340179646</v>
      </c>
      <c r="M70" s="116">
        <f>SUM(L70:L$109)</f>
        <v>117064.89225018471</v>
      </c>
      <c r="N70" s="116">
        <f t="shared" si="16"/>
        <v>3.6241995295327194</v>
      </c>
      <c r="O70" s="116">
        <f>SUM(N70:N$109)</f>
        <v>14.283101649051405</v>
      </c>
      <c r="P70" s="115">
        <f>SUM(O70:O$109)</f>
        <v>35.528862493306434</v>
      </c>
      <c r="R70" s="120">
        <v>62</v>
      </c>
      <c r="S70" s="119">
        <f t="shared" si="23"/>
        <v>94935.656080958041</v>
      </c>
      <c r="T70" s="119">
        <f t="shared" si="17"/>
        <v>495.4524357354469</v>
      </c>
      <c r="U70" s="118">
        <f t="shared" si="18"/>
        <v>5.2188235294117645E-3</v>
      </c>
      <c r="V70" s="117">
        <f t="shared" si="19"/>
        <v>0.99478117647058828</v>
      </c>
      <c r="W70" s="116">
        <f t="shared" si="20"/>
        <v>803.81575804449756</v>
      </c>
      <c r="X70" s="116">
        <f>SUM(W70:W$109)</f>
        <v>10154.325321011002</v>
      </c>
      <c r="Y70" s="116">
        <f>SUM(X70:X$109)</f>
        <v>117049.0243693489</v>
      </c>
      <c r="Z70" s="116">
        <f t="shared" si="21"/>
        <v>3.8842338809209038</v>
      </c>
      <c r="AA70" s="116">
        <f>SUM(Z70:Z$109)</f>
        <v>15.511734261928106</v>
      </c>
      <c r="AB70" s="115">
        <f>SUM(AA70:AA$109)</f>
        <v>38.756108307589663</v>
      </c>
    </row>
    <row r="71" spans="2:28">
      <c r="B71" s="123">
        <v>63</v>
      </c>
      <c r="C71" s="147">
        <v>5.2423529411764714E-3</v>
      </c>
      <c r="D71" s="146">
        <v>5.6611764705882346E-3</v>
      </c>
      <c r="F71" s="120">
        <v>63</v>
      </c>
      <c r="G71" s="119">
        <f t="shared" si="22"/>
        <v>94313.704794847712</v>
      </c>
      <c r="H71" s="119">
        <f t="shared" si="12"/>
        <v>494.42572772451939</v>
      </c>
      <c r="I71" s="121">
        <f t="shared" si="13"/>
        <v>5.2423529411764714E-3</v>
      </c>
      <c r="J71" s="117">
        <f t="shared" si="14"/>
        <v>0.99475764705882352</v>
      </c>
      <c r="K71" s="116">
        <f t="shared" si="15"/>
        <v>739.39789407944261</v>
      </c>
      <c r="L71" s="116">
        <f>SUM(K71:K$109)</f>
        <v>9350.0995406987658</v>
      </c>
      <c r="M71" s="116">
        <f>SUM(L71:L$109)</f>
        <v>106912.32884838825</v>
      </c>
      <c r="N71" s="116">
        <f t="shared" si="16"/>
        <v>3.5890599303028292</v>
      </c>
      <c r="O71" s="116">
        <f>SUM(N71:N$109)</f>
        <v>10.658902119518686</v>
      </c>
      <c r="P71" s="115">
        <f>SUM(O71:O$109)</f>
        <v>21.245760844255031</v>
      </c>
      <c r="R71" s="120">
        <v>63</v>
      </c>
      <c r="S71" s="119">
        <f t="shared" si="23"/>
        <v>94440.203645222588</v>
      </c>
      <c r="T71" s="119">
        <f t="shared" si="17"/>
        <v>534.64265875389538</v>
      </c>
      <c r="U71" s="118">
        <f t="shared" si="18"/>
        <v>5.6611764705882346E-3</v>
      </c>
      <c r="V71" s="117">
        <f t="shared" si="19"/>
        <v>0.99433882352941172</v>
      </c>
      <c r="W71" s="116">
        <f t="shared" si="20"/>
        <v>740.38961616028018</v>
      </c>
      <c r="X71" s="116">
        <f>SUM(W71:W$109)</f>
        <v>9350.5095629665047</v>
      </c>
      <c r="Y71" s="116">
        <f>SUM(X71:X$109)</f>
        <v>106894.6990483379</v>
      </c>
      <c r="Z71" s="116">
        <f t="shared" si="21"/>
        <v>3.8809965500689203</v>
      </c>
      <c r="AA71" s="116">
        <f>SUM(Z71:Z$109)</f>
        <v>11.627500381007204</v>
      </c>
      <c r="AB71" s="115">
        <f>SUM(AA71:AA$109)</f>
        <v>23.244374045661555</v>
      </c>
    </row>
    <row r="72" spans="2:28">
      <c r="B72" s="123">
        <v>64</v>
      </c>
      <c r="C72" s="147">
        <v>5.6341176470588233E-3</v>
      </c>
      <c r="D72" s="146">
        <v>6.141176470588235E-3</v>
      </c>
      <c r="F72" s="120">
        <v>64</v>
      </c>
      <c r="G72" s="119">
        <f t="shared" si="22"/>
        <v>93819.279067123192</v>
      </c>
      <c r="H72" s="119">
        <f t="shared" ref="H72:H103" si="24">G72*I72</f>
        <v>528.58885582641528</v>
      </c>
      <c r="I72" s="121">
        <f t="shared" ref="I72:I103" si="25">C72*$D$2</f>
        <v>5.6341176470588233E-3</v>
      </c>
      <c r="J72" s="117">
        <f t="shared" ref="J72:J103" si="26">1-I72</f>
        <v>0.99436588235294121</v>
      </c>
      <c r="K72" s="116">
        <f t="shared" ref="K72:K103" si="27">v($C$2)^$F72*$G72</f>
        <v>681.03861977288489</v>
      </c>
      <c r="L72" s="116">
        <f>SUM(K72:K$109)</f>
        <v>8610.7016466193236</v>
      </c>
      <c r="M72" s="116">
        <f>SUM(L72:L$109)</f>
        <v>97562.229307689457</v>
      </c>
      <c r="N72" s="116">
        <f t="shared" ref="N72:N103" si="28">v($C$2)^($F72+1)*$H72</f>
        <v>3.5528256536953648</v>
      </c>
      <c r="O72" s="116">
        <f>SUM(N72:N$109)</f>
        <v>7.0698421892158567</v>
      </c>
      <c r="P72" s="115">
        <f>SUM(O72:O$109)</f>
        <v>10.586858724736349</v>
      </c>
      <c r="R72" s="120">
        <v>64</v>
      </c>
      <c r="S72" s="119">
        <f t="shared" si="23"/>
        <v>93905.560986468685</v>
      </c>
      <c r="T72" s="119">
        <f t="shared" ref="T72:T103" si="29">S72*U72</f>
        <v>576.69062158749</v>
      </c>
      <c r="U72" s="118">
        <f t="shared" ref="U72:U108" si="30">D72*$D$2</f>
        <v>6.141176470588235E-3</v>
      </c>
      <c r="V72" s="117">
        <f t="shared" ref="V72:V103" si="31">1-U72</f>
        <v>0.99385882352941179</v>
      </c>
      <c r="W72" s="116">
        <f t="shared" ref="W72:W103" si="32">v($C$2)^$R72*$S72</f>
        <v>681.66494433907951</v>
      </c>
      <c r="X72" s="116">
        <f>SUM(W72:W$109)</f>
        <v>8610.1199468062205</v>
      </c>
      <c r="Y72" s="116">
        <f>SUM(X72:X$109)</f>
        <v>97544.189485371404</v>
      </c>
      <c r="Z72" s="116">
        <f t="shared" ref="Z72:Z103" si="33">v($C$2)^($R72+1)*T72</f>
        <v>3.8761339972222157</v>
      </c>
      <c r="AA72" s="116">
        <f>SUM(Z72:Z$109)</f>
        <v>7.7465038309382832</v>
      </c>
      <c r="AB72" s="115">
        <f>SUM(AA72:AA$109)</f>
        <v>11.616873664654351</v>
      </c>
    </row>
    <row r="73" spans="2:28">
      <c r="B73" s="123">
        <v>65</v>
      </c>
      <c r="C73" s="147">
        <v>6.0576470588235296E-3</v>
      </c>
      <c r="D73" s="146">
        <v>6.6635294117647062E-3</v>
      </c>
      <c r="F73" s="120">
        <v>65</v>
      </c>
      <c r="G73" s="119">
        <f t="shared" ref="G73:G109" si="34">G72-H72</f>
        <v>93290.69021129678</v>
      </c>
      <c r="H73" s="119">
        <f t="shared" si="24"/>
        <v>565.12207517407899</v>
      </c>
      <c r="I73" s="121">
        <f t="shared" si="25"/>
        <v>6.0576470588235296E-3</v>
      </c>
      <c r="J73" s="117">
        <f t="shared" si="26"/>
        <v>0.9939423529411765</v>
      </c>
      <c r="K73" s="116">
        <f t="shared" si="27"/>
        <v>627.03848895082751</v>
      </c>
      <c r="L73" s="116">
        <f>SUM(K73:K$109)</f>
        <v>7929.6630268464423</v>
      </c>
      <c r="M73" s="116">
        <f>SUM(L73:L$109)</f>
        <v>88951.52766107014</v>
      </c>
      <c r="N73" s="116">
        <f t="shared" si="28"/>
        <v>3.5170165355204914</v>
      </c>
      <c r="O73" s="116">
        <f>SUM(N73:N$109)</f>
        <v>3.5170165355204914</v>
      </c>
      <c r="P73" s="115">
        <f>SUM(O73:O$109)</f>
        <v>3.5170165355204914</v>
      </c>
      <c r="R73" s="120">
        <v>65</v>
      </c>
      <c r="S73" s="119">
        <f t="shared" ref="S73:S109" si="35">S72-T72</f>
        <v>93328.870364881193</v>
      </c>
      <c r="T73" s="119">
        <f t="shared" si="29"/>
        <v>621.89967264316135</v>
      </c>
      <c r="U73" s="118">
        <f t="shared" si="30"/>
        <v>6.6635294117647062E-3</v>
      </c>
      <c r="V73" s="117">
        <f t="shared" si="31"/>
        <v>0.99333647058823527</v>
      </c>
      <c r="W73" s="116">
        <f t="shared" si="32"/>
        <v>627.29511076118456</v>
      </c>
      <c r="X73" s="116">
        <f>SUM(W73:W$109)</f>
        <v>7928.4550024671398</v>
      </c>
      <c r="Y73" s="116">
        <f>SUM(X73:X$109)</f>
        <v>88934.069538565178</v>
      </c>
      <c r="Z73" s="116">
        <f t="shared" si="33"/>
        <v>3.8703698337160675</v>
      </c>
      <c r="AA73" s="116">
        <f>SUM(Z73:Z$109)</f>
        <v>3.8703698337160675</v>
      </c>
      <c r="AB73" s="115">
        <f>SUM(AA73:AA$109)</f>
        <v>3.8703698337160675</v>
      </c>
    </row>
    <row r="74" spans="2:28">
      <c r="B74" s="123">
        <v>66</v>
      </c>
      <c r="C74" s="149"/>
      <c r="D74" s="148"/>
      <c r="F74" s="120">
        <v>66</v>
      </c>
      <c r="G74" s="119">
        <f t="shared" si="34"/>
        <v>92725.568136122703</v>
      </c>
      <c r="H74" s="119">
        <f t="shared" si="24"/>
        <v>0</v>
      </c>
      <c r="I74" s="121">
        <f t="shared" si="25"/>
        <v>0</v>
      </c>
      <c r="J74" s="117">
        <f t="shared" si="26"/>
        <v>1</v>
      </c>
      <c r="K74" s="116">
        <f t="shared" si="27"/>
        <v>577.074176937468</v>
      </c>
      <c r="L74" s="116">
        <f>SUM(K74:K$109)</f>
        <v>7302.6245378956146</v>
      </c>
      <c r="M74" s="116">
        <f>SUM(L74:L$109)</f>
        <v>81021.864634223704</v>
      </c>
      <c r="N74" s="116">
        <f t="shared" si="28"/>
        <v>0</v>
      </c>
      <c r="O74" s="116">
        <f>SUM(N74:N$109)</f>
        <v>0</v>
      </c>
      <c r="P74" s="115">
        <f>SUM(O74:O$109)</f>
        <v>0</v>
      </c>
      <c r="R74" s="120">
        <v>66</v>
      </c>
      <c r="S74" s="119">
        <f t="shared" si="35"/>
        <v>92706.970692238028</v>
      </c>
      <c r="T74" s="119">
        <f t="shared" si="29"/>
        <v>0</v>
      </c>
      <c r="U74" s="118">
        <f t="shared" si="30"/>
        <v>0</v>
      </c>
      <c r="V74" s="117">
        <f t="shared" si="31"/>
        <v>1</v>
      </c>
      <c r="W74" s="116">
        <f t="shared" si="32"/>
        <v>576.95843642663999</v>
      </c>
      <c r="X74" s="116">
        <f>SUM(W74:W$109)</f>
        <v>7301.1598917059555</v>
      </c>
      <c r="Y74" s="116">
        <f>SUM(X74:X$109)</f>
        <v>81005.61453609803</v>
      </c>
      <c r="Z74" s="116">
        <f t="shared" si="33"/>
        <v>0</v>
      </c>
      <c r="AA74" s="116">
        <f>SUM(Z74:Z$109)</f>
        <v>0</v>
      </c>
      <c r="AB74" s="115">
        <f>SUM(AA74:AA$109)</f>
        <v>0</v>
      </c>
    </row>
    <row r="75" spans="2:28">
      <c r="B75" s="123">
        <v>67</v>
      </c>
      <c r="C75" s="149"/>
      <c r="D75" s="148"/>
      <c r="F75" s="120">
        <v>67</v>
      </c>
      <c r="G75" s="119">
        <f t="shared" si="34"/>
        <v>92725.568136122703</v>
      </c>
      <c r="H75" s="119">
        <f t="shared" si="24"/>
        <v>0</v>
      </c>
      <c r="I75" s="121">
        <f t="shared" si="25"/>
        <v>0</v>
      </c>
      <c r="J75" s="117">
        <f t="shared" si="26"/>
        <v>1</v>
      </c>
      <c r="K75" s="116">
        <f t="shared" si="27"/>
        <v>534.32794160876665</v>
      </c>
      <c r="L75" s="116">
        <f>SUM(K75:K$109)</f>
        <v>6725.5503609581474</v>
      </c>
      <c r="M75" s="116">
        <f>SUM(L75:L$109)</f>
        <v>73719.240096328082</v>
      </c>
      <c r="N75" s="116">
        <f t="shared" si="28"/>
        <v>0</v>
      </c>
      <c r="O75" s="116">
        <f>SUM(N75:N$109)</f>
        <v>0</v>
      </c>
      <c r="P75" s="115">
        <f>SUM(O75:O$109)</f>
        <v>0</v>
      </c>
      <c r="R75" s="120">
        <v>67</v>
      </c>
      <c r="S75" s="119">
        <f t="shared" si="35"/>
        <v>92706.970692238028</v>
      </c>
      <c r="T75" s="119">
        <f t="shared" si="29"/>
        <v>0</v>
      </c>
      <c r="U75" s="118">
        <f t="shared" si="30"/>
        <v>0</v>
      </c>
      <c r="V75" s="117">
        <f t="shared" si="31"/>
        <v>1</v>
      </c>
      <c r="W75" s="116">
        <f t="shared" si="32"/>
        <v>534.22077446911112</v>
      </c>
      <c r="X75" s="116">
        <f>SUM(W75:W$109)</f>
        <v>6724.2014552793162</v>
      </c>
      <c r="Y75" s="116">
        <f>SUM(X75:X$109)</f>
        <v>73704.45464439207</v>
      </c>
      <c r="Z75" s="116">
        <f t="shared" si="33"/>
        <v>0</v>
      </c>
      <c r="AA75" s="116">
        <f>SUM(Z75:Z$109)</f>
        <v>0</v>
      </c>
      <c r="AB75" s="115">
        <f>SUM(AA75:AA$109)</f>
        <v>0</v>
      </c>
    </row>
    <row r="76" spans="2:28">
      <c r="B76" s="123">
        <v>68</v>
      </c>
      <c r="C76" s="149"/>
      <c r="D76" s="148"/>
      <c r="F76" s="120">
        <v>68</v>
      </c>
      <c r="G76" s="119">
        <f t="shared" si="34"/>
        <v>92725.568136122703</v>
      </c>
      <c r="H76" s="119">
        <f t="shared" si="24"/>
        <v>0</v>
      </c>
      <c r="I76" s="121">
        <f t="shared" si="25"/>
        <v>0</v>
      </c>
      <c r="J76" s="117">
        <f t="shared" si="26"/>
        <v>1</v>
      </c>
      <c r="K76" s="116">
        <f t="shared" si="27"/>
        <v>494.74809408219124</v>
      </c>
      <c r="L76" s="116">
        <f>SUM(K76:K$109)</f>
        <v>6191.2224193493812</v>
      </c>
      <c r="M76" s="116">
        <f>SUM(L76:L$109)</f>
        <v>66993.689735369931</v>
      </c>
      <c r="N76" s="116">
        <f t="shared" si="28"/>
        <v>0</v>
      </c>
      <c r="O76" s="116">
        <f>SUM(N76:N$109)</f>
        <v>0</v>
      </c>
      <c r="P76" s="115">
        <f>SUM(O76:O$109)</f>
        <v>0</v>
      </c>
      <c r="R76" s="120">
        <v>68</v>
      </c>
      <c r="S76" s="119">
        <f t="shared" si="35"/>
        <v>92706.970692238028</v>
      </c>
      <c r="T76" s="119">
        <f t="shared" si="29"/>
        <v>0</v>
      </c>
      <c r="U76" s="118">
        <f t="shared" si="30"/>
        <v>0</v>
      </c>
      <c r="V76" s="117">
        <f t="shared" si="31"/>
        <v>1</v>
      </c>
      <c r="W76" s="116">
        <f t="shared" si="32"/>
        <v>494.64886524917688</v>
      </c>
      <c r="X76" s="116">
        <f>SUM(W76:W$109)</f>
        <v>6189.9806808102048</v>
      </c>
      <c r="Y76" s="116">
        <f>SUM(X76:X$109)</f>
        <v>66980.253189112744</v>
      </c>
      <c r="Z76" s="116">
        <f t="shared" si="33"/>
        <v>0</v>
      </c>
      <c r="AA76" s="116">
        <f>SUM(Z76:Z$109)</f>
        <v>0</v>
      </c>
      <c r="AB76" s="115">
        <f>SUM(AA76:AA$109)</f>
        <v>0</v>
      </c>
    </row>
    <row r="77" spans="2:28">
      <c r="B77" s="123">
        <v>69</v>
      </c>
      <c r="C77" s="149"/>
      <c r="D77" s="148"/>
      <c r="F77" s="120">
        <v>69</v>
      </c>
      <c r="G77" s="119">
        <f t="shared" si="34"/>
        <v>92725.568136122703</v>
      </c>
      <c r="H77" s="119">
        <f t="shared" si="24"/>
        <v>0</v>
      </c>
      <c r="I77" s="121">
        <f t="shared" si="25"/>
        <v>0</v>
      </c>
      <c r="J77" s="117">
        <f t="shared" si="26"/>
        <v>1</v>
      </c>
      <c r="K77" s="116">
        <f t="shared" si="27"/>
        <v>458.10008711313998</v>
      </c>
      <c r="L77" s="116">
        <f>SUM(K77:K$109)</f>
        <v>5696.4743252671897</v>
      </c>
      <c r="M77" s="116">
        <f>SUM(L77:L$109)</f>
        <v>60802.467316020528</v>
      </c>
      <c r="N77" s="116">
        <f t="shared" si="28"/>
        <v>0</v>
      </c>
      <c r="O77" s="116">
        <f>SUM(N77:N$109)</f>
        <v>0</v>
      </c>
      <c r="P77" s="115">
        <f>SUM(O77:O$109)</f>
        <v>0</v>
      </c>
      <c r="R77" s="120">
        <v>69</v>
      </c>
      <c r="S77" s="119">
        <f t="shared" si="35"/>
        <v>92706.970692238028</v>
      </c>
      <c r="T77" s="119">
        <f t="shared" si="29"/>
        <v>0</v>
      </c>
      <c r="U77" s="118">
        <f t="shared" si="30"/>
        <v>0</v>
      </c>
      <c r="V77" s="117">
        <f t="shared" si="31"/>
        <v>1</v>
      </c>
      <c r="W77" s="116">
        <f t="shared" si="32"/>
        <v>458.00820856405261</v>
      </c>
      <c r="X77" s="116">
        <f>SUM(W77:W$109)</f>
        <v>5695.3318155610277</v>
      </c>
      <c r="Y77" s="116">
        <f>SUM(X77:X$109)</f>
        <v>60790.272508302543</v>
      </c>
      <c r="Z77" s="116">
        <f t="shared" si="33"/>
        <v>0</v>
      </c>
      <c r="AA77" s="116">
        <f>SUM(Z77:Z$109)</f>
        <v>0</v>
      </c>
      <c r="AB77" s="115">
        <f>SUM(AA77:AA$109)</f>
        <v>0</v>
      </c>
    </row>
    <row r="78" spans="2:28">
      <c r="B78" s="123">
        <v>70</v>
      </c>
      <c r="C78" s="149"/>
      <c r="D78" s="148"/>
      <c r="F78" s="120">
        <v>70</v>
      </c>
      <c r="G78" s="119">
        <f t="shared" si="34"/>
        <v>92725.568136122703</v>
      </c>
      <c r="H78" s="119">
        <f t="shared" si="24"/>
        <v>0</v>
      </c>
      <c r="I78" s="121">
        <f t="shared" si="25"/>
        <v>0</v>
      </c>
      <c r="J78" s="117">
        <f t="shared" si="26"/>
        <v>1</v>
      </c>
      <c r="K78" s="116">
        <f t="shared" si="27"/>
        <v>424.16674732698141</v>
      </c>
      <c r="L78" s="116">
        <f>SUM(K78:K$109)</f>
        <v>5238.3742381540515</v>
      </c>
      <c r="M78" s="116">
        <f>SUM(L78:L$109)</f>
        <v>55105.992990753322</v>
      </c>
      <c r="N78" s="116">
        <f t="shared" si="28"/>
        <v>0</v>
      </c>
      <c r="O78" s="116">
        <f>SUM(N78:N$109)</f>
        <v>0</v>
      </c>
      <c r="P78" s="115">
        <f>SUM(O78:O$109)</f>
        <v>0</v>
      </c>
      <c r="R78" s="120">
        <v>70</v>
      </c>
      <c r="S78" s="119">
        <f t="shared" si="35"/>
        <v>92706.970692238028</v>
      </c>
      <c r="T78" s="119">
        <f t="shared" si="29"/>
        <v>0</v>
      </c>
      <c r="U78" s="118">
        <f t="shared" si="30"/>
        <v>0</v>
      </c>
      <c r="V78" s="117">
        <f t="shared" si="31"/>
        <v>1</v>
      </c>
      <c r="W78" s="116">
        <f t="shared" si="32"/>
        <v>424.08167459634495</v>
      </c>
      <c r="X78" s="116">
        <f>SUM(W78:W$109)</f>
        <v>5237.3236069969744</v>
      </c>
      <c r="Y78" s="116">
        <f>SUM(X78:X$109)</f>
        <v>55094.940692741511</v>
      </c>
      <c r="Z78" s="116">
        <f t="shared" si="33"/>
        <v>0</v>
      </c>
      <c r="AA78" s="116">
        <f>SUM(Z78:Z$109)</f>
        <v>0</v>
      </c>
      <c r="AB78" s="115">
        <f>SUM(AA78:AA$109)</f>
        <v>0</v>
      </c>
    </row>
    <row r="79" spans="2:28">
      <c r="B79" s="123">
        <v>71</v>
      </c>
      <c r="C79" s="149"/>
      <c r="D79" s="148"/>
      <c r="F79" s="120">
        <v>71</v>
      </c>
      <c r="G79" s="119">
        <f t="shared" si="34"/>
        <v>92725.568136122703</v>
      </c>
      <c r="H79" s="119">
        <f t="shared" si="24"/>
        <v>0</v>
      </c>
      <c r="I79" s="121">
        <f t="shared" si="25"/>
        <v>0</v>
      </c>
      <c r="J79" s="117">
        <f t="shared" si="26"/>
        <v>1</v>
      </c>
      <c r="K79" s="116">
        <f t="shared" si="27"/>
        <v>392.74698826572347</v>
      </c>
      <c r="L79" s="116">
        <f>SUM(K79:K$109)</f>
        <v>4814.2074908270688</v>
      </c>
      <c r="M79" s="116">
        <f>SUM(L79:L$109)</f>
        <v>49867.618752599272</v>
      </c>
      <c r="N79" s="116">
        <f t="shared" si="28"/>
        <v>0</v>
      </c>
      <c r="O79" s="116">
        <f>SUM(N79:N$109)</f>
        <v>0</v>
      </c>
      <c r="P79" s="115">
        <f>SUM(O79:O$109)</f>
        <v>0</v>
      </c>
      <c r="R79" s="120">
        <v>71</v>
      </c>
      <c r="S79" s="119">
        <f t="shared" si="35"/>
        <v>92706.970692238028</v>
      </c>
      <c r="T79" s="119">
        <f t="shared" si="29"/>
        <v>0</v>
      </c>
      <c r="U79" s="118">
        <f t="shared" si="30"/>
        <v>0</v>
      </c>
      <c r="V79" s="117">
        <f t="shared" si="31"/>
        <v>1</v>
      </c>
      <c r="W79" s="116">
        <f t="shared" si="32"/>
        <v>392.66821721883787</v>
      </c>
      <c r="X79" s="116">
        <f>SUM(W79:W$109)</f>
        <v>4813.2419324006305</v>
      </c>
      <c r="Y79" s="116">
        <f>SUM(X79:X$109)</f>
        <v>49857.61708574454</v>
      </c>
      <c r="Z79" s="116">
        <f t="shared" si="33"/>
        <v>0</v>
      </c>
      <c r="AA79" s="116">
        <f>SUM(Z79:Z$109)</f>
        <v>0</v>
      </c>
      <c r="AB79" s="115">
        <f>SUM(AA79:AA$109)</f>
        <v>0</v>
      </c>
    </row>
    <row r="80" spans="2:28">
      <c r="B80" s="123">
        <v>72</v>
      </c>
      <c r="C80" s="149"/>
      <c r="D80" s="148"/>
      <c r="F80" s="120">
        <v>72</v>
      </c>
      <c r="G80" s="119">
        <f t="shared" si="34"/>
        <v>92725.568136122703</v>
      </c>
      <c r="H80" s="119">
        <f t="shared" si="24"/>
        <v>0</v>
      </c>
      <c r="I80" s="121">
        <f t="shared" si="25"/>
        <v>0</v>
      </c>
      <c r="J80" s="117">
        <f t="shared" si="26"/>
        <v>1</v>
      </c>
      <c r="K80" s="116">
        <f t="shared" si="27"/>
        <v>363.65461876455879</v>
      </c>
      <c r="L80" s="116">
        <f>SUM(K80:K$109)</f>
        <v>4421.4605025613437</v>
      </c>
      <c r="M80" s="116">
        <f>SUM(L80:L$109)</f>
        <v>45053.411261772198</v>
      </c>
      <c r="N80" s="116">
        <f t="shared" si="28"/>
        <v>0</v>
      </c>
      <c r="O80" s="116">
        <f>SUM(N80:N$109)</f>
        <v>0</v>
      </c>
      <c r="P80" s="115">
        <f>SUM(O80:O$109)</f>
        <v>0</v>
      </c>
      <c r="R80" s="120">
        <v>72</v>
      </c>
      <c r="S80" s="119">
        <f t="shared" si="35"/>
        <v>92706.970692238028</v>
      </c>
      <c r="T80" s="119">
        <f t="shared" si="29"/>
        <v>0</v>
      </c>
      <c r="U80" s="118">
        <f t="shared" si="30"/>
        <v>0</v>
      </c>
      <c r="V80" s="117">
        <f t="shared" si="31"/>
        <v>1</v>
      </c>
      <c r="W80" s="116">
        <f t="shared" si="32"/>
        <v>363.58168261003505</v>
      </c>
      <c r="X80" s="116">
        <f>SUM(W80:W$109)</f>
        <v>4420.5737151817948</v>
      </c>
      <c r="Y80" s="116">
        <f>SUM(X80:X$109)</f>
        <v>45044.375153343914</v>
      </c>
      <c r="Z80" s="116">
        <f t="shared" si="33"/>
        <v>0</v>
      </c>
      <c r="AA80" s="116">
        <f>SUM(Z80:Z$109)</f>
        <v>0</v>
      </c>
      <c r="AB80" s="115">
        <f>SUM(AA80:AA$109)</f>
        <v>0</v>
      </c>
    </row>
    <row r="81" spans="2:28">
      <c r="B81" s="123">
        <v>73</v>
      </c>
      <c r="C81" s="149"/>
      <c r="D81" s="148"/>
      <c r="F81" s="120">
        <v>73</v>
      </c>
      <c r="G81" s="119">
        <f t="shared" si="34"/>
        <v>92725.568136122703</v>
      </c>
      <c r="H81" s="119">
        <f t="shared" si="24"/>
        <v>0</v>
      </c>
      <c r="I81" s="121">
        <f t="shared" si="25"/>
        <v>0</v>
      </c>
      <c r="J81" s="117">
        <f t="shared" si="26"/>
        <v>1</v>
      </c>
      <c r="K81" s="116">
        <f t="shared" si="27"/>
        <v>336.71723959681367</v>
      </c>
      <c r="L81" s="116">
        <f>SUM(K81:K$109)</f>
        <v>4057.8058837967842</v>
      </c>
      <c r="M81" s="116">
        <f>SUM(L81:L$109)</f>
        <v>40631.950759210871</v>
      </c>
      <c r="N81" s="116">
        <f t="shared" si="28"/>
        <v>0</v>
      </c>
      <c r="O81" s="116">
        <f>SUM(N81:N$109)</f>
        <v>0</v>
      </c>
      <c r="P81" s="115">
        <f>SUM(O81:O$109)</f>
        <v>0</v>
      </c>
      <c r="R81" s="120">
        <v>73</v>
      </c>
      <c r="S81" s="119">
        <f t="shared" si="35"/>
        <v>92706.970692238028</v>
      </c>
      <c r="T81" s="119">
        <f t="shared" si="29"/>
        <v>0</v>
      </c>
      <c r="U81" s="118">
        <f t="shared" si="30"/>
        <v>0</v>
      </c>
      <c r="V81" s="117">
        <f t="shared" si="31"/>
        <v>1</v>
      </c>
      <c r="W81" s="116">
        <f t="shared" si="32"/>
        <v>336.64970612040281</v>
      </c>
      <c r="X81" s="116">
        <f>SUM(W81:W$109)</f>
        <v>4056.9920325717585</v>
      </c>
      <c r="Y81" s="116">
        <f>SUM(X81:X$109)</f>
        <v>40623.801438162111</v>
      </c>
      <c r="Z81" s="116">
        <f t="shared" si="33"/>
        <v>0</v>
      </c>
      <c r="AA81" s="116">
        <f>SUM(Z81:Z$109)</f>
        <v>0</v>
      </c>
      <c r="AB81" s="115">
        <f>SUM(AA81:AA$109)</f>
        <v>0</v>
      </c>
    </row>
    <row r="82" spans="2:28">
      <c r="B82" s="123">
        <v>74</v>
      </c>
      <c r="C82" s="149"/>
      <c r="D82" s="148"/>
      <c r="F82" s="120">
        <v>74</v>
      </c>
      <c r="G82" s="119">
        <f t="shared" si="34"/>
        <v>92725.568136122703</v>
      </c>
      <c r="H82" s="119">
        <f t="shared" si="24"/>
        <v>0</v>
      </c>
      <c r="I82" s="121">
        <f t="shared" si="25"/>
        <v>0</v>
      </c>
      <c r="J82" s="117">
        <f t="shared" si="26"/>
        <v>1</v>
      </c>
      <c r="K82" s="116">
        <f t="shared" si="27"/>
        <v>311.77522184890154</v>
      </c>
      <c r="L82" s="116">
        <f>SUM(K82:K$109)</f>
        <v>3721.0886441999705</v>
      </c>
      <c r="M82" s="116">
        <f>SUM(L82:L$109)</f>
        <v>36574.14487541408</v>
      </c>
      <c r="N82" s="116">
        <f t="shared" si="28"/>
        <v>0</v>
      </c>
      <c r="O82" s="116">
        <f>SUM(N82:N$109)</f>
        <v>0</v>
      </c>
      <c r="P82" s="115">
        <f>SUM(O82:O$109)</f>
        <v>0</v>
      </c>
      <c r="R82" s="120">
        <v>74</v>
      </c>
      <c r="S82" s="119">
        <f t="shared" si="35"/>
        <v>92706.970692238028</v>
      </c>
      <c r="T82" s="119">
        <f t="shared" si="29"/>
        <v>0</v>
      </c>
      <c r="U82" s="118">
        <f t="shared" si="30"/>
        <v>0</v>
      </c>
      <c r="V82" s="117">
        <f t="shared" si="31"/>
        <v>1</v>
      </c>
      <c r="W82" s="116">
        <f t="shared" si="32"/>
        <v>311.7126908522248</v>
      </c>
      <c r="X82" s="116">
        <f>SUM(W82:W$109)</f>
        <v>3720.3423264513558</v>
      </c>
      <c r="Y82" s="116">
        <f>SUM(X82:X$109)</f>
        <v>36566.809405590371</v>
      </c>
      <c r="Z82" s="116">
        <f t="shared" si="33"/>
        <v>0</v>
      </c>
      <c r="AA82" s="116">
        <f>SUM(Z82:Z$109)</f>
        <v>0</v>
      </c>
      <c r="AB82" s="115">
        <f>SUM(AA82:AA$109)</f>
        <v>0</v>
      </c>
    </row>
    <row r="83" spans="2:28">
      <c r="B83" s="123">
        <v>75</v>
      </c>
      <c r="C83" s="149"/>
      <c r="D83" s="148"/>
      <c r="F83" s="120">
        <v>75</v>
      </c>
      <c r="G83" s="119">
        <f t="shared" si="34"/>
        <v>92725.568136122703</v>
      </c>
      <c r="H83" s="119">
        <f t="shared" si="24"/>
        <v>0</v>
      </c>
      <c r="I83" s="121">
        <f t="shared" si="25"/>
        <v>0</v>
      </c>
      <c r="J83" s="117">
        <f t="shared" si="26"/>
        <v>1</v>
      </c>
      <c r="K83" s="116">
        <f t="shared" si="27"/>
        <v>288.68076097120507</v>
      </c>
      <c r="L83" s="116">
        <f>SUM(K83:K$109)</f>
        <v>3409.3134223510683</v>
      </c>
      <c r="M83" s="116">
        <f>SUM(L83:L$109)</f>
        <v>32853.056231214126</v>
      </c>
      <c r="N83" s="116">
        <f t="shared" si="28"/>
        <v>0</v>
      </c>
      <c r="O83" s="116">
        <f>SUM(N83:N$109)</f>
        <v>0</v>
      </c>
      <c r="P83" s="115">
        <f>SUM(O83:O$109)</f>
        <v>0</v>
      </c>
      <c r="R83" s="120">
        <v>75</v>
      </c>
      <c r="S83" s="119">
        <f t="shared" si="35"/>
        <v>92706.970692238028</v>
      </c>
      <c r="T83" s="119">
        <f t="shared" si="29"/>
        <v>0</v>
      </c>
      <c r="U83" s="118">
        <f t="shared" si="30"/>
        <v>0</v>
      </c>
      <c r="V83" s="117">
        <f t="shared" si="31"/>
        <v>1</v>
      </c>
      <c r="W83" s="116">
        <f t="shared" si="32"/>
        <v>288.62286190020814</v>
      </c>
      <c r="X83" s="116">
        <f>SUM(W83:W$109)</f>
        <v>3408.6296355991317</v>
      </c>
      <c r="Y83" s="116">
        <f>SUM(X83:X$109)</f>
        <v>32846.467079139016</v>
      </c>
      <c r="Z83" s="116">
        <f t="shared" si="33"/>
        <v>0</v>
      </c>
      <c r="AA83" s="116">
        <f>SUM(Z83:Z$109)</f>
        <v>0</v>
      </c>
      <c r="AB83" s="115">
        <f>SUM(AA83:AA$109)</f>
        <v>0</v>
      </c>
    </row>
    <row r="84" spans="2:28">
      <c r="B84" s="123">
        <v>76</v>
      </c>
      <c r="C84" s="149"/>
      <c r="D84" s="148"/>
      <c r="F84" s="120">
        <v>76</v>
      </c>
      <c r="G84" s="119">
        <f t="shared" si="34"/>
        <v>92725.568136122703</v>
      </c>
      <c r="H84" s="119">
        <f t="shared" si="24"/>
        <v>0</v>
      </c>
      <c r="I84" s="121">
        <f t="shared" si="25"/>
        <v>0</v>
      </c>
      <c r="J84" s="117">
        <f t="shared" si="26"/>
        <v>1</v>
      </c>
      <c r="K84" s="116">
        <f t="shared" si="27"/>
        <v>267.29700089926399</v>
      </c>
      <c r="L84" s="116">
        <f>SUM(K84:K$109)</f>
        <v>3120.6326613798633</v>
      </c>
      <c r="M84" s="116">
        <f>SUM(L84:L$109)</f>
        <v>29443.742808863055</v>
      </c>
      <c r="N84" s="116">
        <f t="shared" si="28"/>
        <v>0</v>
      </c>
      <c r="O84" s="116">
        <f>SUM(N84:N$109)</f>
        <v>0</v>
      </c>
      <c r="P84" s="115">
        <f>SUM(O84:O$109)</f>
        <v>0</v>
      </c>
      <c r="R84" s="120">
        <v>76</v>
      </c>
      <c r="S84" s="119">
        <f t="shared" si="35"/>
        <v>92706.970692238028</v>
      </c>
      <c r="T84" s="119">
        <f t="shared" si="29"/>
        <v>0</v>
      </c>
      <c r="U84" s="118">
        <f t="shared" si="30"/>
        <v>0</v>
      </c>
      <c r="V84" s="117">
        <f t="shared" si="31"/>
        <v>1</v>
      </c>
      <c r="W84" s="116">
        <f t="shared" si="32"/>
        <v>267.24339064834084</v>
      </c>
      <c r="X84" s="116">
        <f>SUM(W84:W$109)</f>
        <v>3120.0067736989231</v>
      </c>
      <c r="Y84" s="116">
        <f>SUM(X84:X$109)</f>
        <v>29437.837443539884</v>
      </c>
      <c r="Z84" s="116">
        <f t="shared" si="33"/>
        <v>0</v>
      </c>
      <c r="AA84" s="116">
        <f>SUM(Z84:Z$109)</f>
        <v>0</v>
      </c>
      <c r="AB84" s="115">
        <f>SUM(AA84:AA$109)</f>
        <v>0</v>
      </c>
    </row>
    <row r="85" spans="2:28">
      <c r="B85" s="123">
        <v>77</v>
      </c>
      <c r="C85" s="149"/>
      <c r="D85" s="148"/>
      <c r="F85" s="120">
        <v>77</v>
      </c>
      <c r="G85" s="119">
        <f t="shared" si="34"/>
        <v>92725.568136122703</v>
      </c>
      <c r="H85" s="119">
        <f t="shared" si="24"/>
        <v>0</v>
      </c>
      <c r="I85" s="121">
        <f t="shared" si="25"/>
        <v>0</v>
      </c>
      <c r="J85" s="117">
        <f t="shared" si="26"/>
        <v>1</v>
      </c>
      <c r="K85" s="116">
        <f t="shared" si="27"/>
        <v>247.49722305487398</v>
      </c>
      <c r="L85" s="116">
        <f>SUM(K85:K$109)</f>
        <v>2853.3356604805999</v>
      </c>
      <c r="M85" s="116">
        <f>SUM(L85:L$109)</f>
        <v>26323.110147483192</v>
      </c>
      <c r="N85" s="116">
        <f t="shared" si="28"/>
        <v>0</v>
      </c>
      <c r="O85" s="116">
        <f>SUM(N85:N$109)</f>
        <v>0</v>
      </c>
      <c r="P85" s="115">
        <f>SUM(O85:O$109)</f>
        <v>0</v>
      </c>
      <c r="R85" s="120">
        <v>77</v>
      </c>
      <c r="S85" s="119">
        <f t="shared" si="35"/>
        <v>92706.970692238028</v>
      </c>
      <c r="T85" s="119">
        <f t="shared" si="29"/>
        <v>0</v>
      </c>
      <c r="U85" s="118">
        <f t="shared" si="30"/>
        <v>0</v>
      </c>
      <c r="V85" s="117">
        <f t="shared" si="31"/>
        <v>1</v>
      </c>
      <c r="W85" s="116">
        <f t="shared" si="32"/>
        <v>247.44758393364887</v>
      </c>
      <c r="X85" s="116">
        <f>SUM(W85:W$109)</f>
        <v>2852.763383050582</v>
      </c>
      <c r="Y85" s="116">
        <f>SUM(X85:X$109)</f>
        <v>26317.830669840958</v>
      </c>
      <c r="Z85" s="116">
        <f t="shared" si="33"/>
        <v>0</v>
      </c>
      <c r="AA85" s="116">
        <f>SUM(Z85:Z$109)</f>
        <v>0</v>
      </c>
      <c r="AB85" s="115">
        <f>SUM(AA85:AA$109)</f>
        <v>0</v>
      </c>
    </row>
    <row r="86" spans="2:28">
      <c r="B86" s="123">
        <v>78</v>
      </c>
      <c r="C86" s="149"/>
      <c r="D86" s="148"/>
      <c r="F86" s="120">
        <v>78</v>
      </c>
      <c r="G86" s="119">
        <f t="shared" si="34"/>
        <v>92725.568136122703</v>
      </c>
      <c r="H86" s="119">
        <f t="shared" si="24"/>
        <v>0</v>
      </c>
      <c r="I86" s="121">
        <f t="shared" si="25"/>
        <v>0</v>
      </c>
      <c r="J86" s="117">
        <f t="shared" si="26"/>
        <v>1</v>
      </c>
      <c r="K86" s="116">
        <f t="shared" si="27"/>
        <v>229.16409542117961</v>
      </c>
      <c r="L86" s="116">
        <f>SUM(K86:K$109)</f>
        <v>2605.8384374257257</v>
      </c>
      <c r="M86" s="116">
        <f>SUM(L86:L$109)</f>
        <v>23469.774487002593</v>
      </c>
      <c r="N86" s="116">
        <f t="shared" si="28"/>
        <v>0</v>
      </c>
      <c r="O86" s="116">
        <f>SUM(N86:N$109)</f>
        <v>0</v>
      </c>
      <c r="P86" s="115">
        <f>SUM(O86:O$109)</f>
        <v>0</v>
      </c>
      <c r="R86" s="120">
        <v>78</v>
      </c>
      <c r="S86" s="119">
        <f t="shared" si="35"/>
        <v>92706.970692238028</v>
      </c>
      <c r="T86" s="119">
        <f t="shared" si="29"/>
        <v>0</v>
      </c>
      <c r="U86" s="118">
        <f t="shared" si="30"/>
        <v>0</v>
      </c>
      <c r="V86" s="117">
        <f t="shared" si="31"/>
        <v>1</v>
      </c>
      <c r="W86" s="116">
        <f t="shared" si="32"/>
        <v>229.11813327189711</v>
      </c>
      <c r="X86" s="116">
        <f>SUM(W86:W$109)</f>
        <v>2605.3157991169328</v>
      </c>
      <c r="Y86" s="116">
        <f>SUM(X86:X$109)</f>
        <v>23465.067286790378</v>
      </c>
      <c r="Z86" s="116">
        <f t="shared" si="33"/>
        <v>0</v>
      </c>
      <c r="AA86" s="116">
        <f>SUM(Z86:Z$109)</f>
        <v>0</v>
      </c>
      <c r="AB86" s="115">
        <f>SUM(AA86:AA$109)</f>
        <v>0</v>
      </c>
    </row>
    <row r="87" spans="2:28">
      <c r="B87" s="123">
        <v>79</v>
      </c>
      <c r="C87" s="149"/>
      <c r="D87" s="148"/>
      <c r="F87" s="120">
        <v>79</v>
      </c>
      <c r="G87" s="119">
        <f t="shared" si="34"/>
        <v>92725.568136122703</v>
      </c>
      <c r="H87" s="119">
        <f t="shared" si="24"/>
        <v>0</v>
      </c>
      <c r="I87" s="121">
        <f t="shared" si="25"/>
        <v>0</v>
      </c>
      <c r="J87" s="117">
        <f t="shared" si="26"/>
        <v>1</v>
      </c>
      <c r="K87" s="116">
        <f t="shared" si="27"/>
        <v>212.18897724183296</v>
      </c>
      <c r="L87" s="116">
        <f>SUM(K87:K$109)</f>
        <v>2376.6743420045468</v>
      </c>
      <c r="M87" s="116">
        <f>SUM(L87:L$109)</f>
        <v>20863.936049576871</v>
      </c>
      <c r="N87" s="116">
        <f t="shared" si="28"/>
        <v>0</v>
      </c>
      <c r="O87" s="116">
        <f>SUM(N87:N$109)</f>
        <v>0</v>
      </c>
      <c r="P87" s="115">
        <f>SUM(O87:O$109)</f>
        <v>0</v>
      </c>
      <c r="R87" s="120">
        <v>79</v>
      </c>
      <c r="S87" s="119">
        <f t="shared" si="35"/>
        <v>92706.970692238028</v>
      </c>
      <c r="T87" s="119">
        <f t="shared" si="29"/>
        <v>0</v>
      </c>
      <c r="U87" s="118">
        <f t="shared" si="30"/>
        <v>0</v>
      </c>
      <c r="V87" s="117">
        <f t="shared" si="31"/>
        <v>1</v>
      </c>
      <c r="W87" s="116">
        <f t="shared" si="32"/>
        <v>212.14641969620101</v>
      </c>
      <c r="X87" s="116">
        <f>SUM(W87:W$109)</f>
        <v>2376.1976658450358</v>
      </c>
      <c r="Y87" s="116">
        <f>SUM(X87:X$109)</f>
        <v>20859.751487673442</v>
      </c>
      <c r="Z87" s="116">
        <f t="shared" si="33"/>
        <v>0</v>
      </c>
      <c r="AA87" s="116">
        <f>SUM(Z87:Z$109)</f>
        <v>0</v>
      </c>
      <c r="AB87" s="115">
        <f>SUM(AA87:AA$109)</f>
        <v>0</v>
      </c>
    </row>
    <row r="88" spans="2:28">
      <c r="B88" s="123">
        <v>80</v>
      </c>
      <c r="C88" s="149"/>
      <c r="D88" s="148"/>
      <c r="F88" s="120">
        <v>80</v>
      </c>
      <c r="G88" s="119">
        <f t="shared" si="34"/>
        <v>92725.568136122703</v>
      </c>
      <c r="H88" s="119">
        <f t="shared" si="24"/>
        <v>0</v>
      </c>
      <c r="I88" s="121">
        <f t="shared" si="25"/>
        <v>0</v>
      </c>
      <c r="J88" s="117">
        <f t="shared" si="26"/>
        <v>1</v>
      </c>
      <c r="K88" s="116">
        <f t="shared" si="27"/>
        <v>196.47127522391941</v>
      </c>
      <c r="L88" s="116">
        <f>SUM(K88:K$109)</f>
        <v>2164.4853647627137</v>
      </c>
      <c r="M88" s="116">
        <f>SUM(L88:L$109)</f>
        <v>18487.261707572321</v>
      </c>
      <c r="N88" s="116">
        <f t="shared" si="28"/>
        <v>0</v>
      </c>
      <c r="O88" s="116">
        <f>SUM(N88:N$109)</f>
        <v>0</v>
      </c>
      <c r="P88" s="115">
        <f>SUM(O88:O$109)</f>
        <v>0</v>
      </c>
      <c r="R88" s="120">
        <v>80</v>
      </c>
      <c r="S88" s="119">
        <f t="shared" si="35"/>
        <v>92706.970692238028</v>
      </c>
      <c r="T88" s="119">
        <f t="shared" si="29"/>
        <v>0</v>
      </c>
      <c r="U88" s="118">
        <f t="shared" si="30"/>
        <v>0</v>
      </c>
      <c r="V88" s="117">
        <f t="shared" si="31"/>
        <v>1</v>
      </c>
      <c r="W88" s="116">
        <f t="shared" si="32"/>
        <v>196.43187008907501</v>
      </c>
      <c r="X88" s="116">
        <f>SUM(W88:W$109)</f>
        <v>2164.0512461488352</v>
      </c>
      <c r="Y88" s="116">
        <f>SUM(X88:X$109)</f>
        <v>18483.553821828405</v>
      </c>
      <c r="Z88" s="116">
        <f t="shared" si="33"/>
        <v>0</v>
      </c>
      <c r="AA88" s="116">
        <f>SUM(Z88:Z$109)</f>
        <v>0</v>
      </c>
      <c r="AB88" s="115">
        <f>SUM(AA88:AA$109)</f>
        <v>0</v>
      </c>
    </row>
    <row r="89" spans="2:28">
      <c r="B89" s="123">
        <v>81</v>
      </c>
      <c r="C89" s="149"/>
      <c r="D89" s="148"/>
      <c r="F89" s="120">
        <v>81</v>
      </c>
      <c r="G89" s="119">
        <f t="shared" si="34"/>
        <v>92725.568136122703</v>
      </c>
      <c r="H89" s="119">
        <f t="shared" si="24"/>
        <v>0</v>
      </c>
      <c r="I89" s="121">
        <f t="shared" si="25"/>
        <v>0</v>
      </c>
      <c r="J89" s="117">
        <f t="shared" si="26"/>
        <v>1</v>
      </c>
      <c r="K89" s="116">
        <f t="shared" si="27"/>
        <v>181.91784742955497</v>
      </c>
      <c r="L89" s="116">
        <f>SUM(K89:K$109)</f>
        <v>1968.0140895387949</v>
      </c>
      <c r="M89" s="116">
        <f>SUM(L89:L$109)</f>
        <v>16322.776342809606</v>
      </c>
      <c r="N89" s="116">
        <f t="shared" si="28"/>
        <v>0</v>
      </c>
      <c r="O89" s="116">
        <f>SUM(N89:N$109)</f>
        <v>0</v>
      </c>
      <c r="P89" s="115">
        <f>SUM(O89:O$109)</f>
        <v>0</v>
      </c>
      <c r="R89" s="120">
        <v>81</v>
      </c>
      <c r="S89" s="119">
        <f t="shared" si="35"/>
        <v>92706.970692238028</v>
      </c>
      <c r="T89" s="119">
        <f t="shared" si="29"/>
        <v>0</v>
      </c>
      <c r="U89" s="118">
        <f t="shared" si="30"/>
        <v>0</v>
      </c>
      <c r="V89" s="117">
        <f t="shared" si="31"/>
        <v>1</v>
      </c>
      <c r="W89" s="116">
        <f t="shared" si="32"/>
        <v>181.88136119358791</v>
      </c>
      <c r="X89" s="116">
        <f>SUM(W89:W$109)</f>
        <v>1967.61937605976</v>
      </c>
      <c r="Y89" s="116">
        <f>SUM(X89:X$109)</f>
        <v>16319.502575679575</v>
      </c>
      <c r="Z89" s="116">
        <f t="shared" si="33"/>
        <v>0</v>
      </c>
      <c r="AA89" s="116">
        <f>SUM(Z89:Z$109)</f>
        <v>0</v>
      </c>
      <c r="AB89" s="115">
        <f>SUM(AA89:AA$109)</f>
        <v>0</v>
      </c>
    </row>
    <row r="90" spans="2:28">
      <c r="B90" s="123">
        <v>82</v>
      </c>
      <c r="C90" s="149"/>
      <c r="D90" s="148"/>
      <c r="F90" s="120">
        <v>82</v>
      </c>
      <c r="G90" s="119">
        <f t="shared" si="34"/>
        <v>92725.568136122703</v>
      </c>
      <c r="H90" s="119">
        <f t="shared" si="24"/>
        <v>0</v>
      </c>
      <c r="I90" s="121">
        <f t="shared" si="25"/>
        <v>0</v>
      </c>
      <c r="J90" s="117">
        <f t="shared" si="26"/>
        <v>1</v>
      </c>
      <c r="K90" s="116">
        <f t="shared" si="27"/>
        <v>168.44245132366197</v>
      </c>
      <c r="L90" s="116">
        <f>SUM(K90:K$109)</f>
        <v>1786.0962421092399</v>
      </c>
      <c r="M90" s="116">
        <f>SUM(L90:L$109)</f>
        <v>14354.76225327081</v>
      </c>
      <c r="N90" s="116">
        <f t="shared" si="28"/>
        <v>0</v>
      </c>
      <c r="O90" s="116">
        <f>SUM(N90:N$109)</f>
        <v>0</v>
      </c>
      <c r="P90" s="115">
        <f>SUM(O90:O$109)</f>
        <v>0</v>
      </c>
      <c r="R90" s="120">
        <v>82</v>
      </c>
      <c r="S90" s="119">
        <f t="shared" si="35"/>
        <v>92706.970692238028</v>
      </c>
      <c r="T90" s="119">
        <f t="shared" si="29"/>
        <v>0</v>
      </c>
      <c r="U90" s="118">
        <f t="shared" si="30"/>
        <v>0</v>
      </c>
      <c r="V90" s="117">
        <f t="shared" si="31"/>
        <v>1</v>
      </c>
      <c r="W90" s="116">
        <f t="shared" si="32"/>
        <v>168.40866777184064</v>
      </c>
      <c r="X90" s="116">
        <f>SUM(W90:W$109)</f>
        <v>1785.7380148661721</v>
      </c>
      <c r="Y90" s="116">
        <f>SUM(X90:X$109)</f>
        <v>14351.883199619815</v>
      </c>
      <c r="Z90" s="116">
        <f t="shared" si="33"/>
        <v>0</v>
      </c>
      <c r="AA90" s="116">
        <f>SUM(Z90:Z$109)</f>
        <v>0</v>
      </c>
      <c r="AB90" s="115">
        <f>SUM(AA90:AA$109)</f>
        <v>0</v>
      </c>
    </row>
    <row r="91" spans="2:28">
      <c r="B91" s="123">
        <v>83</v>
      </c>
      <c r="C91" s="149"/>
      <c r="D91" s="148"/>
      <c r="F91" s="120">
        <v>83</v>
      </c>
      <c r="G91" s="119">
        <f t="shared" si="34"/>
        <v>92725.568136122703</v>
      </c>
      <c r="H91" s="119">
        <f t="shared" si="24"/>
        <v>0</v>
      </c>
      <c r="I91" s="121">
        <f t="shared" si="25"/>
        <v>0</v>
      </c>
      <c r="J91" s="117">
        <f t="shared" si="26"/>
        <v>1</v>
      </c>
      <c r="K91" s="116">
        <f t="shared" si="27"/>
        <v>155.96523270709443</v>
      </c>
      <c r="L91" s="116">
        <f>SUM(K91:K$109)</f>
        <v>1617.6537907855779</v>
      </c>
      <c r="M91" s="116">
        <f>SUM(L91:L$109)</f>
        <v>12568.666011161569</v>
      </c>
      <c r="N91" s="116">
        <f t="shared" si="28"/>
        <v>0</v>
      </c>
      <c r="O91" s="116">
        <f>SUM(N91:N$109)</f>
        <v>0</v>
      </c>
      <c r="P91" s="115">
        <f>SUM(O91:O$109)</f>
        <v>0</v>
      </c>
      <c r="R91" s="120">
        <v>83</v>
      </c>
      <c r="S91" s="119">
        <f t="shared" si="35"/>
        <v>92706.970692238028</v>
      </c>
      <c r="T91" s="119">
        <f t="shared" si="29"/>
        <v>0</v>
      </c>
      <c r="U91" s="118">
        <f t="shared" si="30"/>
        <v>0</v>
      </c>
      <c r="V91" s="117">
        <f t="shared" si="31"/>
        <v>1</v>
      </c>
      <c r="W91" s="116">
        <f t="shared" si="32"/>
        <v>155.93395164059319</v>
      </c>
      <c r="X91" s="116">
        <f>SUM(W91:W$109)</f>
        <v>1617.3293470943318</v>
      </c>
      <c r="Y91" s="116">
        <f>SUM(X91:X$109)</f>
        <v>12566.145184753643</v>
      </c>
      <c r="Z91" s="116">
        <f t="shared" si="33"/>
        <v>0</v>
      </c>
      <c r="AA91" s="116">
        <f>SUM(Z91:Z$109)</f>
        <v>0</v>
      </c>
      <c r="AB91" s="115">
        <f>SUM(AA91:AA$109)</f>
        <v>0</v>
      </c>
    </row>
    <row r="92" spans="2:28">
      <c r="B92" s="123">
        <v>84</v>
      </c>
      <c r="C92" s="149"/>
      <c r="D92" s="148"/>
      <c r="F92" s="120">
        <v>84</v>
      </c>
      <c r="G92" s="119">
        <f t="shared" si="34"/>
        <v>92725.568136122703</v>
      </c>
      <c r="H92" s="119">
        <f t="shared" si="24"/>
        <v>0</v>
      </c>
      <c r="I92" s="121">
        <f t="shared" si="25"/>
        <v>0</v>
      </c>
      <c r="J92" s="117">
        <f t="shared" si="26"/>
        <v>1</v>
      </c>
      <c r="K92" s="116">
        <f t="shared" si="27"/>
        <v>144.41225250656893</v>
      </c>
      <c r="L92" s="116">
        <f>SUM(K92:K$109)</f>
        <v>1461.6885580784835</v>
      </c>
      <c r="M92" s="116">
        <f>SUM(L92:L$109)</f>
        <v>10951.012220375991</v>
      </c>
      <c r="N92" s="116">
        <f t="shared" si="28"/>
        <v>0</v>
      </c>
      <c r="O92" s="116">
        <f>SUM(N92:N$109)</f>
        <v>0</v>
      </c>
      <c r="P92" s="115">
        <f>SUM(O92:O$109)</f>
        <v>0</v>
      </c>
      <c r="R92" s="120">
        <v>84</v>
      </c>
      <c r="S92" s="119">
        <f t="shared" si="35"/>
        <v>92706.970692238028</v>
      </c>
      <c r="T92" s="119">
        <f t="shared" si="29"/>
        <v>0</v>
      </c>
      <c r="U92" s="118">
        <f t="shared" si="30"/>
        <v>0</v>
      </c>
      <c r="V92" s="117">
        <f t="shared" si="31"/>
        <v>1</v>
      </c>
      <c r="W92" s="116">
        <f t="shared" si="32"/>
        <v>144.38328855610482</v>
      </c>
      <c r="X92" s="116">
        <f>SUM(W92:W$109)</f>
        <v>1461.3953954537385</v>
      </c>
      <c r="Y92" s="116">
        <f>SUM(X92:X$109)</f>
        <v>10948.815837659309</v>
      </c>
      <c r="Z92" s="116">
        <f t="shared" si="33"/>
        <v>0</v>
      </c>
      <c r="AA92" s="116">
        <f>SUM(Z92:Z$109)</f>
        <v>0</v>
      </c>
      <c r="AB92" s="115">
        <f>SUM(AA92:AA$109)</f>
        <v>0</v>
      </c>
    </row>
    <row r="93" spans="2:28">
      <c r="B93" s="123">
        <v>85</v>
      </c>
      <c r="C93" s="149"/>
      <c r="D93" s="148"/>
      <c r="F93" s="120">
        <v>85</v>
      </c>
      <c r="G93" s="119">
        <f t="shared" si="34"/>
        <v>92725.568136122703</v>
      </c>
      <c r="H93" s="119">
        <f t="shared" si="24"/>
        <v>0</v>
      </c>
      <c r="I93" s="121">
        <f t="shared" si="25"/>
        <v>0</v>
      </c>
      <c r="J93" s="117">
        <f t="shared" si="26"/>
        <v>1</v>
      </c>
      <c r="K93" s="116">
        <f t="shared" si="27"/>
        <v>133.71504861719342</v>
      </c>
      <c r="L93" s="116">
        <f>SUM(K93:K$109)</f>
        <v>1317.2763055719145</v>
      </c>
      <c r="M93" s="116">
        <f>SUM(L93:L$109)</f>
        <v>9489.3236622975073</v>
      </c>
      <c r="N93" s="116">
        <f t="shared" si="28"/>
        <v>0</v>
      </c>
      <c r="O93" s="116">
        <f>SUM(N93:N$109)</f>
        <v>0</v>
      </c>
      <c r="P93" s="115">
        <f>SUM(O93:O$109)</f>
        <v>0</v>
      </c>
      <c r="R93" s="120">
        <v>85</v>
      </c>
      <c r="S93" s="119">
        <f t="shared" si="35"/>
        <v>92706.970692238028</v>
      </c>
      <c r="T93" s="119">
        <f t="shared" si="29"/>
        <v>0</v>
      </c>
      <c r="U93" s="118">
        <f t="shared" si="30"/>
        <v>0</v>
      </c>
      <c r="V93" s="117">
        <f t="shared" si="31"/>
        <v>1</v>
      </c>
      <c r="W93" s="116">
        <f t="shared" si="32"/>
        <v>133.68823014454148</v>
      </c>
      <c r="X93" s="116">
        <f>SUM(W93:W$109)</f>
        <v>1317.0121068976337</v>
      </c>
      <c r="Y93" s="116">
        <f>SUM(X93:X$109)</f>
        <v>9487.4204422055718</v>
      </c>
      <c r="Z93" s="116">
        <f t="shared" si="33"/>
        <v>0</v>
      </c>
      <c r="AA93" s="116">
        <f>SUM(Z93:Z$109)</f>
        <v>0</v>
      </c>
      <c r="AB93" s="115">
        <f>SUM(AA93:AA$109)</f>
        <v>0</v>
      </c>
    </row>
    <row r="94" spans="2:28">
      <c r="B94" s="123">
        <v>86</v>
      </c>
      <c r="C94" s="149"/>
      <c r="D94" s="148"/>
      <c r="F94" s="120">
        <v>86</v>
      </c>
      <c r="G94" s="119">
        <f t="shared" si="34"/>
        <v>92725.568136122703</v>
      </c>
      <c r="H94" s="119">
        <f t="shared" si="24"/>
        <v>0</v>
      </c>
      <c r="I94" s="121">
        <f t="shared" si="25"/>
        <v>0</v>
      </c>
      <c r="J94" s="117">
        <f t="shared" si="26"/>
        <v>1</v>
      </c>
      <c r="K94" s="116">
        <f t="shared" si="27"/>
        <v>123.810230201105</v>
      </c>
      <c r="L94" s="116">
        <f>SUM(K94:K$109)</f>
        <v>1183.5612569547209</v>
      </c>
      <c r="M94" s="116">
        <f>SUM(L94:L$109)</f>
        <v>8172.0473567255931</v>
      </c>
      <c r="N94" s="116">
        <f t="shared" si="28"/>
        <v>0</v>
      </c>
      <c r="O94" s="116">
        <f>SUM(N94:N$109)</f>
        <v>0</v>
      </c>
      <c r="P94" s="115">
        <f>SUM(O94:O$109)</f>
        <v>0</v>
      </c>
      <c r="R94" s="120">
        <v>86</v>
      </c>
      <c r="S94" s="119">
        <f t="shared" si="35"/>
        <v>92706.970692238028</v>
      </c>
      <c r="T94" s="119">
        <f t="shared" si="29"/>
        <v>0</v>
      </c>
      <c r="U94" s="118">
        <f t="shared" si="30"/>
        <v>0</v>
      </c>
      <c r="V94" s="117">
        <f t="shared" si="31"/>
        <v>1</v>
      </c>
      <c r="W94" s="116">
        <f t="shared" si="32"/>
        <v>123.78539828198282</v>
      </c>
      <c r="X94" s="116">
        <f>SUM(W94:W$109)</f>
        <v>1183.3238767530925</v>
      </c>
      <c r="Y94" s="116">
        <f>SUM(X94:X$109)</f>
        <v>8170.4083353079368</v>
      </c>
      <c r="Z94" s="116">
        <f t="shared" si="33"/>
        <v>0</v>
      </c>
      <c r="AA94" s="116">
        <f>SUM(Z94:Z$109)</f>
        <v>0</v>
      </c>
      <c r="AB94" s="115">
        <f>SUM(AA94:AA$109)</f>
        <v>0</v>
      </c>
    </row>
    <row r="95" spans="2:28">
      <c r="B95" s="123">
        <v>87</v>
      </c>
      <c r="C95" s="149"/>
      <c r="D95" s="148"/>
      <c r="F95" s="120">
        <v>87</v>
      </c>
      <c r="G95" s="119">
        <f t="shared" si="34"/>
        <v>92725.568136122703</v>
      </c>
      <c r="H95" s="119">
        <f t="shared" si="24"/>
        <v>0</v>
      </c>
      <c r="I95" s="121">
        <f t="shared" si="25"/>
        <v>0</v>
      </c>
      <c r="J95" s="117">
        <f t="shared" si="26"/>
        <v>1</v>
      </c>
      <c r="K95" s="116">
        <f t="shared" si="27"/>
        <v>114.63910203806017</v>
      </c>
      <c r="L95" s="116">
        <f>SUM(K95:K$109)</f>
        <v>1059.7510267536159</v>
      </c>
      <c r="M95" s="116">
        <f>SUM(L95:L$109)</f>
        <v>6988.4860997708738</v>
      </c>
      <c r="N95" s="116">
        <f t="shared" si="28"/>
        <v>0</v>
      </c>
      <c r="O95" s="116">
        <f>SUM(N95:N$109)</f>
        <v>0</v>
      </c>
      <c r="P95" s="115">
        <f>SUM(O95:O$109)</f>
        <v>0</v>
      </c>
      <c r="R95" s="120">
        <v>87</v>
      </c>
      <c r="S95" s="119">
        <f t="shared" si="35"/>
        <v>92706.970692238028</v>
      </c>
      <c r="T95" s="119">
        <f t="shared" si="29"/>
        <v>0</v>
      </c>
      <c r="U95" s="118">
        <f t="shared" si="30"/>
        <v>0</v>
      </c>
      <c r="V95" s="117">
        <f t="shared" si="31"/>
        <v>1</v>
      </c>
      <c r="W95" s="116">
        <f t="shared" si="32"/>
        <v>114.61610952035446</v>
      </c>
      <c r="X95" s="116">
        <f>SUM(W95:W$109)</f>
        <v>1059.5384784711091</v>
      </c>
      <c r="Y95" s="116">
        <f>SUM(X95:X$109)</f>
        <v>6987.0844585548439</v>
      </c>
      <c r="Z95" s="116">
        <f t="shared" si="33"/>
        <v>0</v>
      </c>
      <c r="AA95" s="116">
        <f>SUM(Z95:Z$109)</f>
        <v>0</v>
      </c>
      <c r="AB95" s="115">
        <f>SUM(AA95:AA$109)</f>
        <v>0</v>
      </c>
    </row>
    <row r="96" spans="2:28">
      <c r="B96" s="123">
        <v>88</v>
      </c>
      <c r="C96" s="149"/>
      <c r="D96" s="148"/>
      <c r="F96" s="120">
        <v>88</v>
      </c>
      <c r="G96" s="119">
        <f t="shared" si="34"/>
        <v>92725.568136122703</v>
      </c>
      <c r="H96" s="119">
        <f t="shared" si="24"/>
        <v>0</v>
      </c>
      <c r="I96" s="121">
        <f t="shared" si="25"/>
        <v>0</v>
      </c>
      <c r="J96" s="117">
        <f t="shared" si="26"/>
        <v>1</v>
      </c>
      <c r="K96" s="116">
        <f t="shared" si="27"/>
        <v>106.14731670190757</v>
      </c>
      <c r="L96" s="116">
        <f>SUM(K96:K$109)</f>
        <v>945.11192471555569</v>
      </c>
      <c r="M96" s="116">
        <f>SUM(L96:L$109)</f>
        <v>5928.7350730172566</v>
      </c>
      <c r="N96" s="116">
        <f t="shared" si="28"/>
        <v>0</v>
      </c>
      <c r="O96" s="116">
        <f>SUM(N96:N$109)</f>
        <v>0</v>
      </c>
      <c r="P96" s="115">
        <f>SUM(O96:O$109)</f>
        <v>0</v>
      </c>
      <c r="R96" s="120">
        <v>88</v>
      </c>
      <c r="S96" s="119">
        <f t="shared" si="35"/>
        <v>92706.970692238028</v>
      </c>
      <c r="T96" s="119">
        <f t="shared" si="29"/>
        <v>0</v>
      </c>
      <c r="U96" s="118">
        <f t="shared" si="30"/>
        <v>0</v>
      </c>
      <c r="V96" s="117">
        <f t="shared" si="31"/>
        <v>1</v>
      </c>
      <c r="W96" s="116">
        <f t="shared" si="32"/>
        <v>106.12602733366154</v>
      </c>
      <c r="X96" s="116">
        <f>SUM(W96:W$109)</f>
        <v>944.92236895075473</v>
      </c>
      <c r="Y96" s="116">
        <f>SUM(X96:X$109)</f>
        <v>5927.5459800837343</v>
      </c>
      <c r="Z96" s="116">
        <f t="shared" si="33"/>
        <v>0</v>
      </c>
      <c r="AA96" s="116">
        <f>SUM(Z96:Z$109)</f>
        <v>0</v>
      </c>
      <c r="AB96" s="115">
        <f>SUM(AA96:AA$109)</f>
        <v>0</v>
      </c>
    </row>
    <row r="97" spans="2:28">
      <c r="B97" s="123">
        <v>89</v>
      </c>
      <c r="C97" s="149"/>
      <c r="D97" s="148"/>
      <c r="F97" s="120">
        <v>89</v>
      </c>
      <c r="G97" s="119">
        <f t="shared" si="34"/>
        <v>92725.568136122703</v>
      </c>
      <c r="H97" s="119">
        <f t="shared" si="24"/>
        <v>0</v>
      </c>
      <c r="I97" s="121">
        <f t="shared" si="25"/>
        <v>0</v>
      </c>
      <c r="J97" s="117">
        <f t="shared" si="26"/>
        <v>1</v>
      </c>
      <c r="K97" s="116">
        <f t="shared" si="27"/>
        <v>98.284552501766257</v>
      </c>
      <c r="L97" s="116">
        <f>SUM(K97:K$109)</f>
        <v>838.9646080136481</v>
      </c>
      <c r="M97" s="116">
        <f>SUM(L97:L$109)</f>
        <v>4983.6231483017018</v>
      </c>
      <c r="N97" s="116">
        <f t="shared" si="28"/>
        <v>0</v>
      </c>
      <c r="O97" s="116">
        <f>SUM(N97:N$109)</f>
        <v>0</v>
      </c>
      <c r="P97" s="115">
        <f>SUM(O97:O$109)</f>
        <v>0</v>
      </c>
      <c r="R97" s="120">
        <v>89</v>
      </c>
      <c r="S97" s="119">
        <f t="shared" si="35"/>
        <v>92706.970692238028</v>
      </c>
      <c r="T97" s="119">
        <f t="shared" si="29"/>
        <v>0</v>
      </c>
      <c r="U97" s="118">
        <f t="shared" si="30"/>
        <v>0</v>
      </c>
      <c r="V97" s="117">
        <f t="shared" si="31"/>
        <v>1</v>
      </c>
      <c r="W97" s="116">
        <f t="shared" si="32"/>
        <v>98.264840123760663</v>
      </c>
      <c r="X97" s="116">
        <f>SUM(W97:W$109)</f>
        <v>838.79634161709316</v>
      </c>
      <c r="Y97" s="116">
        <f>SUM(X97:X$109)</f>
        <v>4982.6236111329799</v>
      </c>
      <c r="Z97" s="116">
        <f t="shared" si="33"/>
        <v>0</v>
      </c>
      <c r="AA97" s="116">
        <f>SUM(Z97:Z$109)</f>
        <v>0</v>
      </c>
      <c r="AB97" s="115">
        <f>SUM(AA97:AA$109)</f>
        <v>0</v>
      </c>
    </row>
    <row r="98" spans="2:28">
      <c r="B98" s="123">
        <v>90</v>
      </c>
      <c r="C98" s="149"/>
      <c r="D98" s="148"/>
      <c r="F98" s="120">
        <v>90</v>
      </c>
      <c r="G98" s="119">
        <f t="shared" si="34"/>
        <v>92725.568136122703</v>
      </c>
      <c r="H98" s="119">
        <f t="shared" si="24"/>
        <v>0</v>
      </c>
      <c r="I98" s="121">
        <f t="shared" si="25"/>
        <v>0</v>
      </c>
      <c r="J98" s="117">
        <f t="shared" si="26"/>
        <v>1</v>
      </c>
      <c r="K98" s="116">
        <f t="shared" si="27"/>
        <v>91.004215279413188</v>
      </c>
      <c r="L98" s="116">
        <f>SUM(K98:K$109)</f>
        <v>740.68005551188185</v>
      </c>
      <c r="M98" s="116">
        <f>SUM(L98:L$109)</f>
        <v>4144.6585402880546</v>
      </c>
      <c r="N98" s="116">
        <f t="shared" si="28"/>
        <v>0</v>
      </c>
      <c r="O98" s="116">
        <f>SUM(N98:N$109)</f>
        <v>0</v>
      </c>
      <c r="P98" s="115">
        <f>SUM(O98:O$109)</f>
        <v>0</v>
      </c>
      <c r="R98" s="120">
        <v>90</v>
      </c>
      <c r="S98" s="119">
        <f t="shared" si="35"/>
        <v>92706.970692238028</v>
      </c>
      <c r="T98" s="119">
        <f t="shared" si="29"/>
        <v>0</v>
      </c>
      <c r="U98" s="118">
        <f t="shared" si="30"/>
        <v>0</v>
      </c>
      <c r="V98" s="117">
        <f t="shared" si="31"/>
        <v>1</v>
      </c>
      <c r="W98" s="116">
        <f t="shared" si="32"/>
        <v>90.985963077556164</v>
      </c>
      <c r="X98" s="116">
        <f>SUM(W98:W$109)</f>
        <v>740.53150149333248</v>
      </c>
      <c r="Y98" s="116">
        <f>SUM(X98:X$109)</f>
        <v>4143.8272695158857</v>
      </c>
      <c r="Z98" s="116">
        <f t="shared" si="33"/>
        <v>0</v>
      </c>
      <c r="AA98" s="116">
        <f>SUM(Z98:Z$109)</f>
        <v>0</v>
      </c>
      <c r="AB98" s="115">
        <f>SUM(AA98:AA$109)</f>
        <v>0</v>
      </c>
    </row>
    <row r="99" spans="2:28">
      <c r="B99" s="123">
        <v>91</v>
      </c>
      <c r="C99" s="149"/>
      <c r="D99" s="148"/>
      <c r="F99" s="120">
        <v>91</v>
      </c>
      <c r="G99" s="119">
        <f t="shared" si="34"/>
        <v>92725.568136122703</v>
      </c>
      <c r="H99" s="119">
        <f t="shared" si="24"/>
        <v>0</v>
      </c>
      <c r="I99" s="121">
        <f t="shared" si="25"/>
        <v>0</v>
      </c>
      <c r="J99" s="117">
        <f t="shared" si="26"/>
        <v>1</v>
      </c>
      <c r="K99" s="116">
        <f t="shared" si="27"/>
        <v>84.263162295752949</v>
      </c>
      <c r="L99" s="116">
        <f>SUM(K99:K$109)</f>
        <v>649.67584023246877</v>
      </c>
      <c r="M99" s="116">
        <f>SUM(L99:L$109)</f>
        <v>3403.9784847761716</v>
      </c>
      <c r="N99" s="116">
        <f t="shared" si="28"/>
        <v>0</v>
      </c>
      <c r="O99" s="116">
        <f>SUM(N99:N$109)</f>
        <v>0</v>
      </c>
      <c r="P99" s="115">
        <f>SUM(O99:O$109)</f>
        <v>0</v>
      </c>
      <c r="R99" s="120">
        <v>91</v>
      </c>
      <c r="S99" s="119">
        <f t="shared" si="35"/>
        <v>92706.970692238028</v>
      </c>
      <c r="T99" s="119">
        <f t="shared" si="29"/>
        <v>0</v>
      </c>
      <c r="U99" s="118">
        <f t="shared" si="30"/>
        <v>0</v>
      </c>
      <c r="V99" s="117">
        <f t="shared" si="31"/>
        <v>1</v>
      </c>
      <c r="W99" s="116">
        <f t="shared" si="32"/>
        <v>84.246262108848299</v>
      </c>
      <c r="X99" s="116">
        <f>SUM(W99:W$109)</f>
        <v>649.54553841577638</v>
      </c>
      <c r="Y99" s="116">
        <f>SUM(X99:X$109)</f>
        <v>3403.2957680225536</v>
      </c>
      <c r="Z99" s="116">
        <f t="shared" si="33"/>
        <v>0</v>
      </c>
      <c r="AA99" s="116">
        <f>SUM(Z99:Z$109)</f>
        <v>0</v>
      </c>
      <c r="AB99" s="115">
        <f>SUM(AA99:AA$109)</f>
        <v>0</v>
      </c>
    </row>
    <row r="100" spans="2:28">
      <c r="B100" s="123">
        <v>92</v>
      </c>
      <c r="C100" s="149"/>
      <c r="D100" s="148"/>
      <c r="F100" s="120">
        <v>92</v>
      </c>
      <c r="G100" s="119">
        <f t="shared" si="34"/>
        <v>92725.568136122703</v>
      </c>
      <c r="H100" s="119">
        <f t="shared" si="24"/>
        <v>0</v>
      </c>
      <c r="I100" s="121">
        <f t="shared" si="25"/>
        <v>0</v>
      </c>
      <c r="J100" s="117">
        <f t="shared" si="26"/>
        <v>1</v>
      </c>
      <c r="K100" s="116">
        <f t="shared" si="27"/>
        <v>78.021446570141634</v>
      </c>
      <c r="L100" s="116">
        <f>SUM(K100:K$109)</f>
        <v>565.41267793671568</v>
      </c>
      <c r="M100" s="116">
        <f>SUM(L100:L$109)</f>
        <v>2754.3026445437031</v>
      </c>
      <c r="N100" s="116">
        <f t="shared" si="28"/>
        <v>0</v>
      </c>
      <c r="O100" s="116">
        <f>SUM(N100:N$109)</f>
        <v>0</v>
      </c>
      <c r="P100" s="115">
        <f>SUM(O100:O$109)</f>
        <v>0</v>
      </c>
      <c r="R100" s="120">
        <v>92</v>
      </c>
      <c r="S100" s="119">
        <f t="shared" si="35"/>
        <v>92706.970692238028</v>
      </c>
      <c r="T100" s="119">
        <f t="shared" si="29"/>
        <v>0</v>
      </c>
      <c r="U100" s="118">
        <f t="shared" si="30"/>
        <v>0</v>
      </c>
      <c r="V100" s="117">
        <f t="shared" si="31"/>
        <v>1</v>
      </c>
      <c r="W100" s="116">
        <f t="shared" si="32"/>
        <v>78.005798248933615</v>
      </c>
      <c r="X100" s="116">
        <f>SUM(W100:W$109)</f>
        <v>565.29927630692805</v>
      </c>
      <c r="Y100" s="116">
        <f>SUM(X100:X$109)</f>
        <v>2753.7502296067769</v>
      </c>
      <c r="Z100" s="116">
        <f t="shared" si="33"/>
        <v>0</v>
      </c>
      <c r="AA100" s="116">
        <f>SUM(Z100:Z$109)</f>
        <v>0</v>
      </c>
      <c r="AB100" s="115">
        <f>SUM(AA100:AA$109)</f>
        <v>0</v>
      </c>
    </row>
    <row r="101" spans="2:28">
      <c r="B101" s="123">
        <v>93</v>
      </c>
      <c r="C101" s="149"/>
      <c r="D101" s="148"/>
      <c r="F101" s="120">
        <v>93</v>
      </c>
      <c r="G101" s="119">
        <f t="shared" si="34"/>
        <v>92725.568136122703</v>
      </c>
      <c r="H101" s="119">
        <f t="shared" si="24"/>
        <v>0</v>
      </c>
      <c r="I101" s="121">
        <f t="shared" si="25"/>
        <v>0</v>
      </c>
      <c r="J101" s="117">
        <f t="shared" si="26"/>
        <v>1</v>
      </c>
      <c r="K101" s="116">
        <f t="shared" si="27"/>
        <v>72.242080157538524</v>
      </c>
      <c r="L101" s="116">
        <f>SUM(K101:K$109)</f>
        <v>487.391231366574</v>
      </c>
      <c r="M101" s="116">
        <f>SUM(L101:L$109)</f>
        <v>2188.8899666069879</v>
      </c>
      <c r="N101" s="116">
        <f t="shared" si="28"/>
        <v>0</v>
      </c>
      <c r="O101" s="116">
        <f>SUM(N101:N$109)</f>
        <v>0</v>
      </c>
      <c r="P101" s="115">
        <f>SUM(O101:O$109)</f>
        <v>0</v>
      </c>
      <c r="R101" s="120">
        <v>93</v>
      </c>
      <c r="S101" s="119">
        <f t="shared" si="35"/>
        <v>92706.970692238028</v>
      </c>
      <c r="T101" s="119">
        <f t="shared" si="29"/>
        <v>0</v>
      </c>
      <c r="U101" s="118">
        <f t="shared" si="30"/>
        <v>0</v>
      </c>
      <c r="V101" s="117">
        <f t="shared" si="31"/>
        <v>1</v>
      </c>
      <c r="W101" s="116">
        <f t="shared" si="32"/>
        <v>72.227590971234804</v>
      </c>
      <c r="X101" s="116">
        <f>SUM(W101:W$109)</f>
        <v>487.29347805799449</v>
      </c>
      <c r="Y101" s="116">
        <f>SUM(X101:X$109)</f>
        <v>2188.4509532998491</v>
      </c>
      <c r="Z101" s="116">
        <f t="shared" si="33"/>
        <v>0</v>
      </c>
      <c r="AA101" s="116">
        <f>SUM(Z101:Z$109)</f>
        <v>0</v>
      </c>
      <c r="AB101" s="115">
        <f>SUM(AA101:AA$109)</f>
        <v>0</v>
      </c>
    </row>
    <row r="102" spans="2:28">
      <c r="B102" s="123">
        <v>94</v>
      </c>
      <c r="C102" s="149"/>
      <c r="D102" s="148"/>
      <c r="F102" s="120">
        <v>94</v>
      </c>
      <c r="G102" s="119">
        <f t="shared" si="34"/>
        <v>92725.568136122703</v>
      </c>
      <c r="H102" s="119">
        <f t="shared" si="24"/>
        <v>0</v>
      </c>
      <c r="I102" s="121">
        <f t="shared" si="25"/>
        <v>0</v>
      </c>
      <c r="J102" s="117">
        <f t="shared" si="26"/>
        <v>1</v>
      </c>
      <c r="K102" s="116">
        <f t="shared" si="27"/>
        <v>66.890814960683812</v>
      </c>
      <c r="L102" s="116">
        <f>SUM(K102:K$109)</f>
        <v>415.14915120903549</v>
      </c>
      <c r="M102" s="116">
        <f>SUM(L102:L$109)</f>
        <v>1701.4987352404137</v>
      </c>
      <c r="N102" s="116">
        <f t="shared" si="28"/>
        <v>0</v>
      </c>
      <c r="O102" s="116">
        <f>SUM(N102:N$109)</f>
        <v>0</v>
      </c>
      <c r="P102" s="115">
        <f>SUM(O102:O$109)</f>
        <v>0</v>
      </c>
      <c r="R102" s="120">
        <v>94</v>
      </c>
      <c r="S102" s="119">
        <f t="shared" si="35"/>
        <v>92706.970692238028</v>
      </c>
      <c r="T102" s="119">
        <f t="shared" si="29"/>
        <v>0</v>
      </c>
      <c r="U102" s="118">
        <f t="shared" si="30"/>
        <v>0</v>
      </c>
      <c r="V102" s="117">
        <f t="shared" si="31"/>
        <v>1</v>
      </c>
      <c r="W102" s="116">
        <f t="shared" si="32"/>
        <v>66.877399047439638</v>
      </c>
      <c r="X102" s="116">
        <f>SUM(W102:W$109)</f>
        <v>415.06588708675969</v>
      </c>
      <c r="Y102" s="116">
        <f>SUM(X102:X$109)</f>
        <v>1701.1574752418549</v>
      </c>
      <c r="Z102" s="116">
        <f t="shared" si="33"/>
        <v>0</v>
      </c>
      <c r="AA102" s="116">
        <f>SUM(Z102:Z$109)</f>
        <v>0</v>
      </c>
      <c r="AB102" s="115">
        <f>SUM(AA102:AA$109)</f>
        <v>0</v>
      </c>
    </row>
    <row r="103" spans="2:28">
      <c r="B103" s="123">
        <v>95</v>
      </c>
      <c r="C103" s="149"/>
      <c r="D103" s="148"/>
      <c r="F103" s="120">
        <v>95</v>
      </c>
      <c r="G103" s="119">
        <f t="shared" si="34"/>
        <v>92725.568136122703</v>
      </c>
      <c r="H103" s="119">
        <f t="shared" si="24"/>
        <v>0</v>
      </c>
      <c r="I103" s="121">
        <f t="shared" si="25"/>
        <v>0</v>
      </c>
      <c r="J103" s="117">
        <f t="shared" si="26"/>
        <v>1</v>
      </c>
      <c r="K103" s="116">
        <f t="shared" si="27"/>
        <v>61.935939778410926</v>
      </c>
      <c r="L103" s="116">
        <f>SUM(K103:K$109)</f>
        <v>348.25833624835167</v>
      </c>
      <c r="M103" s="116">
        <f>SUM(L103:L$109)</f>
        <v>1286.3495840313781</v>
      </c>
      <c r="N103" s="116">
        <f t="shared" si="28"/>
        <v>0</v>
      </c>
      <c r="O103" s="116">
        <f>SUM(N103:N$109)</f>
        <v>0</v>
      </c>
      <c r="P103" s="115">
        <f>SUM(O103:O$109)</f>
        <v>0</v>
      </c>
      <c r="R103" s="120">
        <v>95</v>
      </c>
      <c r="S103" s="119">
        <f t="shared" si="35"/>
        <v>92706.970692238028</v>
      </c>
      <c r="T103" s="119">
        <f t="shared" si="29"/>
        <v>0</v>
      </c>
      <c r="U103" s="118">
        <f t="shared" si="30"/>
        <v>0</v>
      </c>
      <c r="V103" s="117">
        <f t="shared" si="31"/>
        <v>1</v>
      </c>
      <c r="W103" s="116">
        <f t="shared" si="32"/>
        <v>61.923517636518163</v>
      </c>
      <c r="X103" s="116">
        <f>SUM(W103:W$109)</f>
        <v>348.18848803932002</v>
      </c>
      <c r="Y103" s="116">
        <f>SUM(X103:X$109)</f>
        <v>1286.0915881550952</v>
      </c>
      <c r="Z103" s="116">
        <f t="shared" si="33"/>
        <v>0</v>
      </c>
      <c r="AA103" s="116">
        <f>SUM(Z103:Z$109)</f>
        <v>0</v>
      </c>
      <c r="AB103" s="115">
        <f>SUM(AA103:AA$109)</f>
        <v>0</v>
      </c>
    </row>
    <row r="104" spans="2:28">
      <c r="B104" s="123">
        <v>96</v>
      </c>
      <c r="C104" s="149"/>
      <c r="D104" s="148"/>
      <c r="F104" s="120">
        <v>96</v>
      </c>
      <c r="G104" s="119">
        <f t="shared" si="34"/>
        <v>92725.568136122703</v>
      </c>
      <c r="H104" s="119">
        <f t="shared" ref="H104:H109" si="36">G104*I104</f>
        <v>0</v>
      </c>
      <c r="I104" s="121">
        <f t="shared" ref="I104:I109" si="37">C104*$D$2</f>
        <v>0</v>
      </c>
      <c r="J104" s="117">
        <f t="shared" ref="J104:J109" si="38">1-I104</f>
        <v>1</v>
      </c>
      <c r="K104" s="116">
        <f t="shared" ref="K104:K109" si="39">v($C$2)^$F104*$G104</f>
        <v>57.34809238741753</v>
      </c>
      <c r="L104" s="116">
        <f>SUM(K104:K$109)</f>
        <v>286.32239646994083</v>
      </c>
      <c r="M104" s="116">
        <f>SUM(L104:L$109)</f>
        <v>938.09124778302635</v>
      </c>
      <c r="N104" s="116">
        <f t="shared" ref="N104:N109" si="40">v($C$2)^($F104+1)*$H104</f>
        <v>0</v>
      </c>
      <c r="O104" s="116">
        <f>SUM(N104:N$109)</f>
        <v>0</v>
      </c>
      <c r="P104" s="115">
        <f>SUM(O104:O$109)</f>
        <v>0</v>
      </c>
      <c r="R104" s="120">
        <v>96</v>
      </c>
      <c r="S104" s="119">
        <f t="shared" si="35"/>
        <v>92706.970692238028</v>
      </c>
      <c r="T104" s="119">
        <f t="shared" ref="T104:T109" si="41">S104*U104</f>
        <v>0</v>
      </c>
      <c r="U104" s="118">
        <f t="shared" si="30"/>
        <v>0</v>
      </c>
      <c r="V104" s="117">
        <f t="shared" ref="V104:V109" si="42">1-U104</f>
        <v>1</v>
      </c>
      <c r="W104" s="116">
        <f t="shared" ref="W104:W109" si="43">v($C$2)^$R104*$S104</f>
        <v>57.33659040418349</v>
      </c>
      <c r="X104" s="116">
        <f>SUM(W104:W$109)</f>
        <v>286.26497040280196</v>
      </c>
      <c r="Y104" s="116">
        <f>SUM(X104:X$109)</f>
        <v>937.90310011577515</v>
      </c>
      <c r="Z104" s="116">
        <f t="shared" ref="Z104:Z109" si="44">v($C$2)^($R104+1)*T104</f>
        <v>0</v>
      </c>
      <c r="AA104" s="116">
        <f>SUM(Z104:Z$109)</f>
        <v>0</v>
      </c>
      <c r="AB104" s="115">
        <f>SUM(AA104:AA$109)</f>
        <v>0</v>
      </c>
    </row>
    <row r="105" spans="2:28">
      <c r="B105" s="123">
        <v>97</v>
      </c>
      <c r="C105" s="149"/>
      <c r="D105" s="148"/>
      <c r="F105" s="120">
        <v>97</v>
      </c>
      <c r="G105" s="119">
        <f t="shared" si="34"/>
        <v>92725.568136122703</v>
      </c>
      <c r="H105" s="119">
        <f t="shared" si="36"/>
        <v>0</v>
      </c>
      <c r="I105" s="121">
        <f t="shared" si="37"/>
        <v>0</v>
      </c>
      <c r="J105" s="117">
        <f t="shared" si="38"/>
        <v>1</v>
      </c>
      <c r="K105" s="116">
        <f t="shared" si="39"/>
        <v>53.100085543905116</v>
      </c>
      <c r="L105" s="116">
        <f>SUM(K105:K$109)</f>
        <v>228.97430408252325</v>
      </c>
      <c r="M105" s="116">
        <f>SUM(L105:L$109)</f>
        <v>651.76885131308552</v>
      </c>
      <c r="N105" s="116">
        <f t="shared" si="40"/>
        <v>0</v>
      </c>
      <c r="O105" s="116">
        <f>SUM(N105:N$109)</f>
        <v>0</v>
      </c>
      <c r="P105" s="115">
        <f>SUM(O105:O$109)</f>
        <v>0</v>
      </c>
      <c r="R105" s="120">
        <v>97</v>
      </c>
      <c r="S105" s="119">
        <f t="shared" si="35"/>
        <v>92706.970692238028</v>
      </c>
      <c r="T105" s="119">
        <f t="shared" si="41"/>
        <v>0</v>
      </c>
      <c r="U105" s="118">
        <f t="shared" si="30"/>
        <v>0</v>
      </c>
      <c r="V105" s="117">
        <f t="shared" si="42"/>
        <v>1</v>
      </c>
      <c r="W105" s="116">
        <f t="shared" si="43"/>
        <v>53.089435559429162</v>
      </c>
      <c r="X105" s="116">
        <f>SUM(W105:W$109)</f>
        <v>228.92837999861842</v>
      </c>
      <c r="Y105" s="116">
        <f>SUM(X105:X$109)</f>
        <v>651.63812971297318</v>
      </c>
      <c r="Z105" s="116">
        <f t="shared" si="44"/>
        <v>0</v>
      </c>
      <c r="AA105" s="116">
        <f>SUM(Z105:Z$109)</f>
        <v>0</v>
      </c>
      <c r="AB105" s="115">
        <f>SUM(AA105:AA$109)</f>
        <v>0</v>
      </c>
    </row>
    <row r="106" spans="2:28">
      <c r="B106" s="123">
        <v>98</v>
      </c>
      <c r="C106" s="149"/>
      <c r="D106" s="148"/>
      <c r="F106" s="120">
        <v>98</v>
      </c>
      <c r="G106" s="119">
        <f t="shared" si="34"/>
        <v>92725.568136122703</v>
      </c>
      <c r="H106" s="119">
        <f t="shared" si="36"/>
        <v>0</v>
      </c>
      <c r="I106" s="121">
        <f t="shared" si="37"/>
        <v>0</v>
      </c>
      <c r="J106" s="117">
        <f t="shared" si="38"/>
        <v>1</v>
      </c>
      <c r="K106" s="116">
        <f t="shared" si="39"/>
        <v>49.166745873986216</v>
      </c>
      <c r="L106" s="116">
        <f>SUM(K106:K$109)</f>
        <v>175.87421853861812</v>
      </c>
      <c r="M106" s="116">
        <f>SUM(L106:L$109)</f>
        <v>422.79454723056222</v>
      </c>
      <c r="N106" s="116">
        <f t="shared" si="40"/>
        <v>0</v>
      </c>
      <c r="O106" s="116">
        <f>SUM(N106:N$109)</f>
        <v>0</v>
      </c>
      <c r="P106" s="115">
        <f>SUM(O106:O$109)</f>
        <v>0</v>
      </c>
      <c r="R106" s="120">
        <v>98</v>
      </c>
      <c r="S106" s="119">
        <f t="shared" si="35"/>
        <v>92706.970692238028</v>
      </c>
      <c r="T106" s="119">
        <f t="shared" si="41"/>
        <v>0</v>
      </c>
      <c r="U106" s="118">
        <f t="shared" si="30"/>
        <v>0</v>
      </c>
      <c r="V106" s="117">
        <f t="shared" si="42"/>
        <v>1</v>
      </c>
      <c r="W106" s="116">
        <f t="shared" si="43"/>
        <v>49.156884777249211</v>
      </c>
      <c r="X106" s="116">
        <f>SUM(W106:W$109)</f>
        <v>175.83894443918925</v>
      </c>
      <c r="Y106" s="116">
        <f>SUM(X106:X$109)</f>
        <v>422.70974971435476</v>
      </c>
      <c r="Z106" s="116">
        <f t="shared" si="44"/>
        <v>0</v>
      </c>
      <c r="AA106" s="116">
        <f>SUM(Z106:Z$109)</f>
        <v>0</v>
      </c>
      <c r="AB106" s="115">
        <f>SUM(AA106:AA$109)</f>
        <v>0</v>
      </c>
    </row>
    <row r="107" spans="2:28">
      <c r="B107" s="123">
        <v>99</v>
      </c>
      <c r="C107" s="149"/>
      <c r="D107" s="148"/>
      <c r="F107" s="120">
        <v>99</v>
      </c>
      <c r="G107" s="119">
        <f t="shared" si="34"/>
        <v>92725.568136122703</v>
      </c>
      <c r="H107" s="119">
        <f t="shared" si="36"/>
        <v>0</v>
      </c>
      <c r="I107" s="121">
        <f t="shared" si="37"/>
        <v>0</v>
      </c>
      <c r="J107" s="117">
        <f t="shared" si="38"/>
        <v>1</v>
      </c>
      <c r="K107" s="116">
        <f t="shared" si="39"/>
        <v>45.524764698135378</v>
      </c>
      <c r="L107" s="116">
        <f>SUM(K107:K$109)</f>
        <v>126.70747266463192</v>
      </c>
      <c r="M107" s="116">
        <f>SUM(L107:L$109)</f>
        <v>246.92032869194409</v>
      </c>
      <c r="N107" s="116">
        <f t="shared" si="40"/>
        <v>0</v>
      </c>
      <c r="O107" s="116">
        <f>SUM(N107:N$109)</f>
        <v>0</v>
      </c>
      <c r="P107" s="115">
        <f>SUM(O107:O$109)</f>
        <v>0</v>
      </c>
      <c r="R107" s="120">
        <v>99</v>
      </c>
      <c r="S107" s="119">
        <f t="shared" si="35"/>
        <v>92706.970692238028</v>
      </c>
      <c r="T107" s="119">
        <f t="shared" si="41"/>
        <v>0</v>
      </c>
      <c r="U107" s="118">
        <f t="shared" si="30"/>
        <v>0</v>
      </c>
      <c r="V107" s="117">
        <f t="shared" si="42"/>
        <v>1</v>
      </c>
      <c r="W107" s="116">
        <f t="shared" si="43"/>
        <v>45.515634053008533</v>
      </c>
      <c r="X107" s="116">
        <f>SUM(W107:W$109)</f>
        <v>126.68205966194004</v>
      </c>
      <c r="Y107" s="116">
        <f>SUM(X107:X$109)</f>
        <v>246.87080527516554</v>
      </c>
      <c r="Z107" s="116">
        <f t="shared" si="44"/>
        <v>0</v>
      </c>
      <c r="AA107" s="116">
        <f>SUM(Z107:Z$109)</f>
        <v>0</v>
      </c>
      <c r="AB107" s="115">
        <f>SUM(AA107:AA$109)</f>
        <v>0</v>
      </c>
    </row>
    <row r="108" spans="2:28">
      <c r="B108" s="123">
        <v>100</v>
      </c>
      <c r="C108" s="147"/>
      <c r="D108" s="146"/>
      <c r="F108" s="120">
        <v>100</v>
      </c>
      <c r="G108" s="119">
        <f t="shared" si="34"/>
        <v>92725.568136122703</v>
      </c>
      <c r="H108" s="119">
        <f t="shared" si="36"/>
        <v>0</v>
      </c>
      <c r="I108" s="121">
        <f t="shared" si="37"/>
        <v>0</v>
      </c>
      <c r="J108" s="117">
        <f t="shared" si="38"/>
        <v>1</v>
      </c>
      <c r="K108" s="116">
        <f t="shared" si="39"/>
        <v>42.152559905680903</v>
      </c>
      <c r="L108" s="116">
        <f>SUM(K108:K$109)</f>
        <v>81.182707966496537</v>
      </c>
      <c r="M108" s="116">
        <f>SUM(L108:L$109)</f>
        <v>120.21285602731217</v>
      </c>
      <c r="N108" s="116">
        <f t="shared" si="40"/>
        <v>0</v>
      </c>
      <c r="O108" s="116">
        <f>SUM(N108:N$109)</f>
        <v>0</v>
      </c>
      <c r="P108" s="115">
        <f>SUM(O108:O$109)</f>
        <v>0</v>
      </c>
      <c r="R108" s="120">
        <v>100</v>
      </c>
      <c r="S108" s="119">
        <f t="shared" si="35"/>
        <v>92706.970692238028</v>
      </c>
      <c r="T108" s="119">
        <f t="shared" si="41"/>
        <v>0</v>
      </c>
      <c r="U108" s="118">
        <f t="shared" si="30"/>
        <v>0</v>
      </c>
      <c r="V108" s="117">
        <f t="shared" si="42"/>
        <v>1</v>
      </c>
      <c r="W108" s="116">
        <f t="shared" si="43"/>
        <v>42.144105604637524</v>
      </c>
      <c r="X108" s="116">
        <f>SUM(W108:W$109)</f>
        <v>81.166425608931519</v>
      </c>
      <c r="Y108" s="116">
        <f>SUM(X108:X$109)</f>
        <v>120.18874561322551</v>
      </c>
      <c r="Z108" s="116">
        <f t="shared" si="44"/>
        <v>0</v>
      </c>
      <c r="AA108" s="116">
        <f>SUM(Z108:Z$109)</f>
        <v>0</v>
      </c>
      <c r="AB108" s="115">
        <f>SUM(AA108:AA$109)</f>
        <v>0</v>
      </c>
    </row>
    <row r="109" spans="2:28">
      <c r="B109" s="114">
        <v>101</v>
      </c>
      <c r="C109" s="145"/>
      <c r="D109" s="144"/>
      <c r="F109" s="111">
        <v>101</v>
      </c>
      <c r="G109" s="110">
        <f t="shared" si="34"/>
        <v>92725.568136122703</v>
      </c>
      <c r="H109" s="110">
        <f t="shared" si="36"/>
        <v>0</v>
      </c>
      <c r="I109" s="112">
        <f t="shared" si="37"/>
        <v>0</v>
      </c>
      <c r="J109" s="108">
        <f t="shared" si="38"/>
        <v>1</v>
      </c>
      <c r="K109" s="107">
        <f t="shared" si="39"/>
        <v>39.030148060815641</v>
      </c>
      <c r="L109" s="107">
        <f>SUM(K109:K$109)</f>
        <v>39.030148060815641</v>
      </c>
      <c r="M109" s="107">
        <f>SUM(L109:L$109)</f>
        <v>39.030148060815641</v>
      </c>
      <c r="N109" s="107">
        <f t="shared" si="40"/>
        <v>0</v>
      </c>
      <c r="O109" s="107">
        <f>SUM(N109:N$109)</f>
        <v>0</v>
      </c>
      <c r="P109" s="106">
        <f>SUM(O109:O$109)</f>
        <v>0</v>
      </c>
      <c r="R109" s="111">
        <v>101</v>
      </c>
      <c r="S109" s="110">
        <f t="shared" si="35"/>
        <v>92706.970692238028</v>
      </c>
      <c r="T109" s="110">
        <f t="shared" si="41"/>
        <v>0</v>
      </c>
      <c r="U109" s="109">
        <v>0</v>
      </c>
      <c r="V109" s="108">
        <f t="shared" si="42"/>
        <v>1</v>
      </c>
      <c r="W109" s="107">
        <f t="shared" si="43"/>
        <v>39.022320004293988</v>
      </c>
      <c r="X109" s="107">
        <f>SUM(W109:W$109)</f>
        <v>39.022320004293988</v>
      </c>
      <c r="Y109" s="107">
        <f>SUM(X109:X$109)</f>
        <v>39.022320004293988</v>
      </c>
      <c r="Z109" s="107">
        <f t="shared" si="44"/>
        <v>0</v>
      </c>
      <c r="AA109" s="107">
        <f>SUM(Z109:Z$109)</f>
        <v>0</v>
      </c>
      <c r="AB109" s="106">
        <f>SUM(AA109:AA$109)</f>
        <v>0</v>
      </c>
    </row>
  </sheetData>
  <mergeCells count="6">
    <mergeCell ref="F4:P4"/>
    <mergeCell ref="R4:AB4"/>
    <mergeCell ref="F5:P5"/>
    <mergeCell ref="R5:AB5"/>
    <mergeCell ref="F6:P6"/>
    <mergeCell ref="R6:AB6"/>
  </mergeCell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5">
    <tabColor theme="9"/>
  </sheetPr>
  <dimension ref="B1:AB109"/>
  <sheetViews>
    <sheetView topLeftCell="E1" zoomScale="85" zoomScaleNormal="85" workbookViewId="0">
      <selection activeCell="M128" sqref="M128"/>
    </sheetView>
  </sheetViews>
  <sheetFormatPr defaultColWidth="9.140625" defaultRowHeight="12.75"/>
  <cols>
    <col min="1" max="1" width="5.5703125" style="102" customWidth="1"/>
    <col min="2" max="2" width="5.5703125" style="105" customWidth="1"/>
    <col min="3" max="4" width="14.42578125" style="103" customWidth="1"/>
    <col min="5" max="5" width="8.5703125" style="102" customWidth="1"/>
    <col min="6" max="6" width="5.5703125" style="105" customWidth="1"/>
    <col min="7" max="8" width="12.85546875" style="104" customWidth="1"/>
    <col min="9" max="16" width="12.85546875" style="103" customWidth="1"/>
    <col min="17" max="17" width="2.85546875" style="102" customWidth="1"/>
    <col min="18" max="18" width="5.5703125" style="105" customWidth="1"/>
    <col min="19" max="20" width="12.85546875" style="104" customWidth="1"/>
    <col min="21" max="28" width="12.85546875" style="103" customWidth="1"/>
    <col min="29" max="29" width="2.85546875" style="102" customWidth="1"/>
    <col min="30" max="16384" width="9.140625" style="102"/>
  </cols>
  <sheetData>
    <row r="1" spans="2:28">
      <c r="D1" s="224"/>
    </row>
    <row r="2" spans="2:28">
      <c r="B2" s="141" t="s">
        <v>127</v>
      </c>
      <c r="C2" s="143">
        <f>ii</f>
        <v>0.08</v>
      </c>
      <c r="D2" s="143">
        <v>1</v>
      </c>
    </row>
    <row r="4" spans="2:28">
      <c r="B4" s="141" t="s">
        <v>126</v>
      </c>
      <c r="C4" s="142"/>
      <c r="D4" s="142"/>
      <c r="F4" s="563" t="s">
        <v>131</v>
      </c>
      <c r="G4" s="563"/>
      <c r="H4" s="563"/>
      <c r="I4" s="563"/>
      <c r="J4" s="563"/>
      <c r="K4" s="563"/>
      <c r="L4" s="563"/>
      <c r="M4" s="563"/>
      <c r="N4" s="563"/>
      <c r="O4" s="563"/>
      <c r="P4" s="563"/>
      <c r="R4" s="563" t="s">
        <v>131</v>
      </c>
      <c r="S4" s="563"/>
      <c r="T4" s="563"/>
      <c r="U4" s="563"/>
      <c r="V4" s="563"/>
      <c r="W4" s="563"/>
      <c r="X4" s="563"/>
      <c r="Y4" s="563"/>
      <c r="Z4" s="563"/>
      <c r="AA4" s="563"/>
      <c r="AB4" s="563"/>
    </row>
    <row r="5" spans="2:28">
      <c r="B5" s="141"/>
      <c r="C5" s="142"/>
      <c r="D5" s="142"/>
      <c r="F5" s="564" t="s">
        <v>124</v>
      </c>
      <c r="G5" s="564"/>
      <c r="H5" s="564"/>
      <c r="I5" s="564"/>
      <c r="J5" s="564"/>
      <c r="K5" s="564"/>
      <c r="L5" s="564"/>
      <c r="M5" s="564"/>
      <c r="N5" s="564"/>
      <c r="O5" s="564"/>
      <c r="P5" s="564"/>
      <c r="R5" s="564" t="s">
        <v>123</v>
      </c>
      <c r="S5" s="564"/>
      <c r="T5" s="564"/>
      <c r="U5" s="564"/>
      <c r="V5" s="564"/>
      <c r="W5" s="564"/>
      <c r="X5" s="564"/>
      <c r="Y5" s="564"/>
      <c r="Z5" s="564"/>
      <c r="AA5" s="564"/>
      <c r="AB5" s="564"/>
    </row>
    <row r="6" spans="2:28">
      <c r="B6" s="141"/>
      <c r="C6" s="224" t="s">
        <v>124</v>
      </c>
      <c r="D6" s="224" t="s">
        <v>123</v>
      </c>
      <c r="F6" s="564" t="str">
        <f>"Норма доходности "&amp;$C$2</f>
        <v>Норма доходности 0,08</v>
      </c>
      <c r="G6" s="564"/>
      <c r="H6" s="564"/>
      <c r="I6" s="564"/>
      <c r="J6" s="564"/>
      <c r="K6" s="564"/>
      <c r="L6" s="564"/>
      <c r="M6" s="564"/>
      <c r="N6" s="564"/>
      <c r="O6" s="564"/>
      <c r="P6" s="564"/>
      <c r="R6" s="564" t="str">
        <f>"Норма доходности "&amp;ii</f>
        <v>Норма доходности 0,08</v>
      </c>
      <c r="S6" s="564"/>
      <c r="T6" s="564"/>
      <c r="U6" s="564"/>
      <c r="V6" s="564"/>
      <c r="W6" s="564"/>
      <c r="X6" s="564"/>
      <c r="Y6" s="564"/>
      <c r="Z6" s="564"/>
      <c r="AA6" s="564"/>
      <c r="AB6" s="564"/>
    </row>
    <row r="7" spans="2:28">
      <c r="B7" s="140" t="s">
        <v>67</v>
      </c>
      <c r="C7" s="137" t="s">
        <v>120</v>
      </c>
      <c r="D7" s="136" t="s">
        <v>120</v>
      </c>
      <c r="F7" s="139" t="s">
        <v>67</v>
      </c>
      <c r="G7" s="138" t="s">
        <v>122</v>
      </c>
      <c r="H7" s="138" t="s">
        <v>121</v>
      </c>
      <c r="I7" s="137" t="s">
        <v>120</v>
      </c>
      <c r="J7" s="137" t="s">
        <v>119</v>
      </c>
      <c r="K7" s="137" t="s">
        <v>118</v>
      </c>
      <c r="L7" s="137" t="s">
        <v>117</v>
      </c>
      <c r="M7" s="137" t="s">
        <v>116</v>
      </c>
      <c r="N7" s="137" t="s">
        <v>115</v>
      </c>
      <c r="O7" s="137" t="s">
        <v>114</v>
      </c>
      <c r="P7" s="136" t="s">
        <v>113</v>
      </c>
      <c r="R7" s="139" t="s">
        <v>67</v>
      </c>
      <c r="S7" s="138" t="s">
        <v>122</v>
      </c>
      <c r="T7" s="138" t="s">
        <v>121</v>
      </c>
      <c r="U7" s="137" t="s">
        <v>120</v>
      </c>
      <c r="V7" s="137" t="s">
        <v>119</v>
      </c>
      <c r="W7" s="137" t="s">
        <v>118</v>
      </c>
      <c r="X7" s="137" t="s">
        <v>117</v>
      </c>
      <c r="Y7" s="137" t="s">
        <v>116</v>
      </c>
      <c r="Z7" s="137" t="s">
        <v>115</v>
      </c>
      <c r="AA7" s="137" t="s">
        <v>114</v>
      </c>
      <c r="AB7" s="136" t="s">
        <v>113</v>
      </c>
    </row>
    <row r="8" spans="2:28">
      <c r="B8" s="123">
        <v>0</v>
      </c>
      <c r="C8" s="149"/>
      <c r="D8" s="149"/>
      <c r="F8" s="134">
        <v>0</v>
      </c>
      <c r="G8" s="133">
        <v>100000</v>
      </c>
      <c r="H8" s="132">
        <f t="shared" ref="H8:H39" si="0">G8*I8</f>
        <v>0</v>
      </c>
      <c r="I8" s="135">
        <f t="shared" ref="I8:I39" si="1">C8*$D$2</f>
        <v>0</v>
      </c>
      <c r="J8" s="130">
        <f t="shared" ref="J8:J39" si="2">1-I8</f>
        <v>1</v>
      </c>
      <c r="K8" s="129">
        <f t="shared" ref="K8:K39" si="3">v($C$2)^$F8*$G8</f>
        <v>100000</v>
      </c>
      <c r="L8" s="129">
        <f>SUM(K8:K$109)</f>
        <v>1339610.2868236662</v>
      </c>
      <c r="M8" s="129">
        <f>SUM(L8:L$109)</f>
        <v>17647161.985366654</v>
      </c>
      <c r="N8" s="129">
        <f t="shared" ref="N8:N39" si="4">v($C$2)^($F8+1)*$H8</f>
        <v>0</v>
      </c>
      <c r="O8" s="129">
        <f>SUM(N8:N$109)</f>
        <v>741.08772936570199</v>
      </c>
      <c r="P8" s="128">
        <f>SUM(O8:O$109)</f>
        <v>29503.996007657235</v>
      </c>
      <c r="R8" s="134">
        <v>0</v>
      </c>
      <c r="S8" s="133">
        <v>100000</v>
      </c>
      <c r="T8" s="132">
        <f t="shared" ref="T8:T39" si="5">S8*U8</f>
        <v>0</v>
      </c>
      <c r="U8" s="131">
        <f t="shared" ref="U8:U39" si="6">D8*$D$2</f>
        <v>0</v>
      </c>
      <c r="V8" s="130">
        <f t="shared" ref="V8:V39" si="7">1-U8</f>
        <v>1</v>
      </c>
      <c r="W8" s="129">
        <f t="shared" ref="W8:W39" si="8">v($C$2)^$R8*$S8</f>
        <v>100000</v>
      </c>
      <c r="X8" s="129">
        <f>SUM(W8:W$109)</f>
        <v>1344498.3521502998</v>
      </c>
      <c r="Y8" s="129">
        <f>SUM(X8:X$109)</f>
        <v>17892675.561752353</v>
      </c>
      <c r="Z8" s="129">
        <f t="shared" ref="Z8:Z39" si="9">v($C$2)^($R8+1)*T8</f>
        <v>0</v>
      </c>
      <c r="AA8" s="129">
        <f>SUM(Z8:Z$109)</f>
        <v>374.88101052049524</v>
      </c>
      <c r="AB8" s="128">
        <f>SUM(AA8:AA$109)</f>
        <v>15784.834303271846</v>
      </c>
    </row>
    <row r="9" spans="2:28">
      <c r="B9" s="127">
        <v>1</v>
      </c>
      <c r="C9" s="149"/>
      <c r="D9" s="148"/>
      <c r="F9" s="126">
        <v>1</v>
      </c>
      <c r="G9" s="119">
        <f t="shared" ref="G9:G40" si="10">G8-H8</f>
        <v>100000</v>
      </c>
      <c r="H9" s="119">
        <f t="shared" si="0"/>
        <v>0</v>
      </c>
      <c r="I9" s="121">
        <f t="shared" si="1"/>
        <v>0</v>
      </c>
      <c r="J9" s="117">
        <f t="shared" si="2"/>
        <v>1</v>
      </c>
      <c r="K9" s="116">
        <f t="shared" si="3"/>
        <v>92592.592592592584</v>
      </c>
      <c r="L9" s="116">
        <f>SUM(K9:K$109)</f>
        <v>1239610.286823666</v>
      </c>
      <c r="M9" s="116">
        <f>SUM(L9:L$109)</f>
        <v>16307551.698543008</v>
      </c>
      <c r="N9" s="116">
        <f t="shared" si="4"/>
        <v>0</v>
      </c>
      <c r="O9" s="116">
        <f>SUM(N9:N$109)</f>
        <v>741.08772936570199</v>
      </c>
      <c r="P9" s="115">
        <f>SUM(O9:O$109)</f>
        <v>28762.908278291532</v>
      </c>
      <c r="R9" s="126">
        <v>1</v>
      </c>
      <c r="S9" s="119">
        <f t="shared" ref="S9:S40" si="11">S8-T8</f>
        <v>100000</v>
      </c>
      <c r="T9" s="119">
        <f t="shared" si="5"/>
        <v>0</v>
      </c>
      <c r="U9" s="118">
        <f t="shared" si="6"/>
        <v>0</v>
      </c>
      <c r="V9" s="117">
        <f t="shared" si="7"/>
        <v>1</v>
      </c>
      <c r="W9" s="116">
        <f t="shared" si="8"/>
        <v>92592.592592592584</v>
      </c>
      <c r="X9" s="116">
        <f>SUM(W9:W$109)</f>
        <v>1244498.3521503003</v>
      </c>
      <c r="Y9" s="116">
        <f>SUM(X9:X$109)</f>
        <v>16548177.209602069</v>
      </c>
      <c r="Z9" s="116">
        <f t="shared" si="9"/>
        <v>0</v>
      </c>
      <c r="AA9" s="116">
        <f>SUM(Z9:Z$109)</f>
        <v>374.88101052049524</v>
      </c>
      <c r="AB9" s="115">
        <f>SUM(AA9:AA$109)</f>
        <v>15409.95329275135</v>
      </c>
    </row>
    <row r="10" spans="2:28">
      <c r="B10" s="123">
        <v>2</v>
      </c>
      <c r="C10" s="149"/>
      <c r="D10" s="148"/>
      <c r="F10" s="120">
        <v>2</v>
      </c>
      <c r="G10" s="119">
        <f t="shared" si="10"/>
        <v>100000</v>
      </c>
      <c r="H10" s="119">
        <f t="shared" si="0"/>
        <v>0</v>
      </c>
      <c r="I10" s="121">
        <f t="shared" si="1"/>
        <v>0</v>
      </c>
      <c r="J10" s="117">
        <f t="shared" si="2"/>
        <v>1</v>
      </c>
      <c r="K10" s="116">
        <f t="shared" si="3"/>
        <v>85733.882030178313</v>
      </c>
      <c r="L10" s="116">
        <f>SUM(K10:K$109)</f>
        <v>1147017.6942310731</v>
      </c>
      <c r="M10" s="116">
        <f>SUM(L10:L$109)</f>
        <v>15067941.411719343</v>
      </c>
      <c r="N10" s="116">
        <f t="shared" si="4"/>
        <v>0</v>
      </c>
      <c r="O10" s="116">
        <f>SUM(N10:N$109)</f>
        <v>741.08772936570199</v>
      </c>
      <c r="P10" s="115">
        <f>SUM(O10:O$109)</f>
        <v>28021.820548925833</v>
      </c>
      <c r="R10" s="120">
        <v>2</v>
      </c>
      <c r="S10" s="119">
        <f t="shared" si="11"/>
        <v>100000</v>
      </c>
      <c r="T10" s="119">
        <f t="shared" si="5"/>
        <v>0</v>
      </c>
      <c r="U10" s="118">
        <f t="shared" si="6"/>
        <v>0</v>
      </c>
      <c r="V10" s="117">
        <f t="shared" si="7"/>
        <v>1</v>
      </c>
      <c r="W10" s="116">
        <f t="shared" si="8"/>
        <v>85733.882030178313</v>
      </c>
      <c r="X10" s="116">
        <f>SUM(W10:W$109)</f>
        <v>1151905.7595577075</v>
      </c>
      <c r="Y10" s="116">
        <f>SUM(X10:X$109)</f>
        <v>15303678.857451767</v>
      </c>
      <c r="Z10" s="116">
        <f t="shared" si="9"/>
        <v>0</v>
      </c>
      <c r="AA10" s="116">
        <f>SUM(Z10:Z$109)</f>
        <v>374.88101052049524</v>
      </c>
      <c r="AB10" s="115">
        <f>SUM(AA10:AA$109)</f>
        <v>15035.072282230853</v>
      </c>
    </row>
    <row r="11" spans="2:28">
      <c r="B11" s="123">
        <v>3</v>
      </c>
      <c r="C11" s="149"/>
      <c r="D11" s="148"/>
      <c r="F11" s="120">
        <v>3</v>
      </c>
      <c r="G11" s="119">
        <f t="shared" si="10"/>
        <v>100000</v>
      </c>
      <c r="H11" s="119">
        <f t="shared" si="0"/>
        <v>0</v>
      </c>
      <c r="I11" s="121">
        <f t="shared" si="1"/>
        <v>0</v>
      </c>
      <c r="J11" s="117">
        <f t="shared" si="2"/>
        <v>1</v>
      </c>
      <c r="K11" s="116">
        <f t="shared" si="3"/>
        <v>79383.224102016946</v>
      </c>
      <c r="L11" s="116">
        <f>SUM(K11:K$109)</f>
        <v>1061283.8122008946</v>
      </c>
      <c r="M11" s="116">
        <f>SUM(L11:L$109)</f>
        <v>13920923.717488267</v>
      </c>
      <c r="N11" s="116">
        <f t="shared" si="4"/>
        <v>0</v>
      </c>
      <c r="O11" s="116">
        <f>SUM(N11:N$109)</f>
        <v>741.08772936570199</v>
      </c>
      <c r="P11" s="115">
        <f>SUM(O11:O$109)</f>
        <v>27280.732819560133</v>
      </c>
      <c r="R11" s="120">
        <v>3</v>
      </c>
      <c r="S11" s="119">
        <f t="shared" si="11"/>
        <v>100000</v>
      </c>
      <c r="T11" s="119">
        <f t="shared" si="5"/>
        <v>0</v>
      </c>
      <c r="U11" s="118">
        <f t="shared" si="6"/>
        <v>0</v>
      </c>
      <c r="V11" s="117">
        <f t="shared" si="7"/>
        <v>1</v>
      </c>
      <c r="W11" s="116">
        <f t="shared" si="8"/>
        <v>79383.224102016946</v>
      </c>
      <c r="X11" s="116">
        <f>SUM(W11:W$109)</f>
        <v>1066171.8775275289</v>
      </c>
      <c r="Y11" s="116">
        <f>SUM(X11:X$109)</f>
        <v>14151773.097894059</v>
      </c>
      <c r="Z11" s="116">
        <f t="shared" si="9"/>
        <v>0</v>
      </c>
      <c r="AA11" s="116">
        <f>SUM(Z11:Z$109)</f>
        <v>374.88101052049524</v>
      </c>
      <c r="AB11" s="115">
        <f>SUM(AA11:AA$109)</f>
        <v>14660.191271710357</v>
      </c>
    </row>
    <row r="12" spans="2:28">
      <c r="B12" s="123">
        <v>4</v>
      </c>
      <c r="C12" s="149"/>
      <c r="D12" s="148"/>
      <c r="F12" s="120">
        <v>4</v>
      </c>
      <c r="G12" s="119">
        <f t="shared" si="10"/>
        <v>100000</v>
      </c>
      <c r="H12" s="119">
        <f t="shared" si="0"/>
        <v>0</v>
      </c>
      <c r="I12" s="121">
        <f t="shared" si="1"/>
        <v>0</v>
      </c>
      <c r="J12" s="117">
        <f t="shared" si="2"/>
        <v>1</v>
      </c>
      <c r="K12" s="116">
        <f t="shared" si="3"/>
        <v>73502.98527964532</v>
      </c>
      <c r="L12" s="116">
        <f>SUM(K12:K$109)</f>
        <v>981900.58809887746</v>
      </c>
      <c r="M12" s="116">
        <f>SUM(L12:L$109)</f>
        <v>12859639.905287372</v>
      </c>
      <c r="N12" s="116">
        <f t="shared" si="4"/>
        <v>0</v>
      </c>
      <c r="O12" s="116">
        <f>SUM(N12:N$109)</f>
        <v>741.08772936570199</v>
      </c>
      <c r="P12" s="115">
        <f>SUM(O12:O$109)</f>
        <v>26539.64509019443</v>
      </c>
      <c r="R12" s="120">
        <v>4</v>
      </c>
      <c r="S12" s="119">
        <f t="shared" si="11"/>
        <v>100000</v>
      </c>
      <c r="T12" s="119">
        <f t="shared" si="5"/>
        <v>0</v>
      </c>
      <c r="U12" s="118">
        <f t="shared" si="6"/>
        <v>0</v>
      </c>
      <c r="V12" s="117">
        <f t="shared" si="7"/>
        <v>1</v>
      </c>
      <c r="W12" s="116">
        <f t="shared" si="8"/>
        <v>73502.98527964532</v>
      </c>
      <c r="X12" s="116">
        <f>SUM(W12:W$109)</f>
        <v>986788.65342551237</v>
      </c>
      <c r="Y12" s="116">
        <f>SUM(X12:X$109)</f>
        <v>13085601.22036653</v>
      </c>
      <c r="Z12" s="116">
        <f t="shared" si="9"/>
        <v>0</v>
      </c>
      <c r="AA12" s="116">
        <f>SUM(Z12:Z$109)</f>
        <v>374.88101052049524</v>
      </c>
      <c r="AB12" s="115">
        <f>SUM(AA12:AA$109)</f>
        <v>14285.310261189861</v>
      </c>
    </row>
    <row r="13" spans="2:28">
      <c r="B13" s="123">
        <v>5</v>
      </c>
      <c r="C13" s="149"/>
      <c r="D13" s="148"/>
      <c r="F13" s="120">
        <v>5</v>
      </c>
      <c r="G13" s="119">
        <f t="shared" si="10"/>
        <v>100000</v>
      </c>
      <c r="H13" s="119">
        <f t="shared" si="0"/>
        <v>0</v>
      </c>
      <c r="I13" s="121">
        <f t="shared" si="1"/>
        <v>0</v>
      </c>
      <c r="J13" s="117">
        <f t="shared" si="2"/>
        <v>1</v>
      </c>
      <c r="K13" s="116">
        <f t="shared" si="3"/>
        <v>68058.31970337528</v>
      </c>
      <c r="L13" s="116">
        <f>SUM(K13:K$109)</f>
        <v>908397.60281923215</v>
      </c>
      <c r="M13" s="116">
        <f>SUM(L13:L$109)</f>
        <v>11877739.317188492</v>
      </c>
      <c r="N13" s="116">
        <f t="shared" si="4"/>
        <v>0</v>
      </c>
      <c r="O13" s="116">
        <f>SUM(N13:N$109)</f>
        <v>741.08772936570199</v>
      </c>
      <c r="P13" s="115">
        <f>SUM(O13:O$109)</f>
        <v>25798.55736082873</v>
      </c>
      <c r="R13" s="120">
        <v>5</v>
      </c>
      <c r="S13" s="119">
        <f t="shared" si="11"/>
        <v>100000</v>
      </c>
      <c r="T13" s="119">
        <f t="shared" si="5"/>
        <v>0</v>
      </c>
      <c r="U13" s="118">
        <f t="shared" si="6"/>
        <v>0</v>
      </c>
      <c r="V13" s="117">
        <f t="shared" si="7"/>
        <v>1</v>
      </c>
      <c r="W13" s="116">
        <f t="shared" si="8"/>
        <v>68058.31970337528</v>
      </c>
      <c r="X13" s="116">
        <f>SUM(W13:W$109)</f>
        <v>913285.66814586706</v>
      </c>
      <c r="Y13" s="116">
        <f>SUM(X13:X$109)</f>
        <v>12098812.566941015</v>
      </c>
      <c r="Z13" s="116">
        <f t="shared" si="9"/>
        <v>0</v>
      </c>
      <c r="AA13" s="116">
        <f>SUM(Z13:Z$109)</f>
        <v>374.88101052049524</v>
      </c>
      <c r="AB13" s="115">
        <f>SUM(AA13:AA$109)</f>
        <v>13910.429250669366</v>
      </c>
    </row>
    <row r="14" spans="2:28">
      <c r="B14" s="123">
        <v>6</v>
      </c>
      <c r="C14" s="149"/>
      <c r="D14" s="148"/>
      <c r="F14" s="120">
        <v>6</v>
      </c>
      <c r="G14" s="119">
        <f t="shared" si="10"/>
        <v>100000</v>
      </c>
      <c r="H14" s="119">
        <f t="shared" si="0"/>
        <v>0</v>
      </c>
      <c r="I14" s="121">
        <f t="shared" si="1"/>
        <v>0</v>
      </c>
      <c r="J14" s="117">
        <f t="shared" si="2"/>
        <v>1</v>
      </c>
      <c r="K14" s="116">
        <f t="shared" si="3"/>
        <v>63016.962688310443</v>
      </c>
      <c r="L14" s="116">
        <f>SUM(K14:K$109)</f>
        <v>840339.28311585682</v>
      </c>
      <c r="M14" s="116">
        <f>SUM(L14:L$109)</f>
        <v>10969341.71436926</v>
      </c>
      <c r="N14" s="116">
        <f t="shared" si="4"/>
        <v>0</v>
      </c>
      <c r="O14" s="116">
        <f>SUM(N14:N$109)</f>
        <v>741.08772936570199</v>
      </c>
      <c r="P14" s="115">
        <f>SUM(O14:O$109)</f>
        <v>25057.469631463024</v>
      </c>
      <c r="R14" s="120">
        <v>6</v>
      </c>
      <c r="S14" s="119">
        <f t="shared" si="11"/>
        <v>100000</v>
      </c>
      <c r="T14" s="119">
        <f t="shared" si="5"/>
        <v>0</v>
      </c>
      <c r="U14" s="118">
        <f t="shared" si="6"/>
        <v>0</v>
      </c>
      <c r="V14" s="117">
        <f t="shared" si="7"/>
        <v>1</v>
      </c>
      <c r="W14" s="116">
        <f t="shared" si="8"/>
        <v>63016.962688310443</v>
      </c>
      <c r="X14" s="116">
        <f>SUM(W14:W$109)</f>
        <v>845227.34844249161</v>
      </c>
      <c r="Y14" s="116">
        <f>SUM(X14:X$109)</f>
        <v>11185526.898795148</v>
      </c>
      <c r="Z14" s="116">
        <f t="shared" si="9"/>
        <v>0</v>
      </c>
      <c r="AA14" s="116">
        <f>SUM(Z14:Z$109)</f>
        <v>374.88101052049524</v>
      </c>
      <c r="AB14" s="115">
        <f>SUM(AA14:AA$109)</f>
        <v>13535.54824014887</v>
      </c>
    </row>
    <row r="15" spans="2:28">
      <c r="B15" s="123">
        <v>7</v>
      </c>
      <c r="C15" s="149"/>
      <c r="D15" s="148"/>
      <c r="F15" s="120">
        <v>7</v>
      </c>
      <c r="G15" s="119">
        <f t="shared" si="10"/>
        <v>100000</v>
      </c>
      <c r="H15" s="119">
        <f t="shared" si="0"/>
        <v>0</v>
      </c>
      <c r="I15" s="121">
        <f t="shared" si="1"/>
        <v>0</v>
      </c>
      <c r="J15" s="117">
        <f t="shared" si="2"/>
        <v>1</v>
      </c>
      <c r="K15" s="116">
        <f t="shared" si="3"/>
        <v>58349.039526213368</v>
      </c>
      <c r="L15" s="116">
        <f>SUM(K15:K$109)</f>
        <v>777322.32042754639</v>
      </c>
      <c r="M15" s="116">
        <f>SUM(L15:L$109)</f>
        <v>10129002.431253405</v>
      </c>
      <c r="N15" s="116">
        <f t="shared" si="4"/>
        <v>0</v>
      </c>
      <c r="O15" s="116">
        <f>SUM(N15:N$109)</f>
        <v>741.08772936570199</v>
      </c>
      <c r="P15" s="115">
        <f>SUM(O15:O$109)</f>
        <v>24316.381902097328</v>
      </c>
      <c r="R15" s="120">
        <v>7</v>
      </c>
      <c r="S15" s="119">
        <f t="shared" si="11"/>
        <v>100000</v>
      </c>
      <c r="T15" s="119">
        <f t="shared" si="5"/>
        <v>0</v>
      </c>
      <c r="U15" s="118">
        <f t="shared" si="6"/>
        <v>0</v>
      </c>
      <c r="V15" s="117">
        <f t="shared" si="7"/>
        <v>1</v>
      </c>
      <c r="W15" s="116">
        <f t="shared" si="8"/>
        <v>58349.039526213368</v>
      </c>
      <c r="X15" s="116">
        <f>SUM(W15:W$109)</f>
        <v>782210.38575418107</v>
      </c>
      <c r="Y15" s="116">
        <f>SUM(X15:X$109)</f>
        <v>10340299.550352659</v>
      </c>
      <c r="Z15" s="116">
        <f t="shared" si="9"/>
        <v>0</v>
      </c>
      <c r="AA15" s="116">
        <f>SUM(Z15:Z$109)</f>
        <v>374.88101052049524</v>
      </c>
      <c r="AB15" s="115">
        <f>SUM(AA15:AA$109)</f>
        <v>13160.667229628374</v>
      </c>
    </row>
    <row r="16" spans="2:28">
      <c r="B16" s="123">
        <v>8</v>
      </c>
      <c r="C16" s="149"/>
      <c r="D16" s="148"/>
      <c r="F16" s="120">
        <v>8</v>
      </c>
      <c r="G16" s="119">
        <f t="shared" si="10"/>
        <v>100000</v>
      </c>
      <c r="H16" s="119">
        <f t="shared" si="0"/>
        <v>0</v>
      </c>
      <c r="I16" s="121">
        <f t="shared" si="1"/>
        <v>0</v>
      </c>
      <c r="J16" s="117">
        <f t="shared" si="2"/>
        <v>1</v>
      </c>
      <c r="K16" s="116">
        <f t="shared" si="3"/>
        <v>54026.888450197563</v>
      </c>
      <c r="L16" s="116">
        <f>SUM(K16:K$109)</f>
        <v>718973.28090133297</v>
      </c>
      <c r="M16" s="116">
        <f>SUM(L16:L$109)</f>
        <v>9351680.110825859</v>
      </c>
      <c r="N16" s="116">
        <f t="shared" si="4"/>
        <v>0</v>
      </c>
      <c r="O16" s="116">
        <f>SUM(N16:N$109)</f>
        <v>741.08772936570199</v>
      </c>
      <c r="P16" s="115">
        <f>SUM(O16:O$109)</f>
        <v>23575.294172731625</v>
      </c>
      <c r="R16" s="120">
        <v>8</v>
      </c>
      <c r="S16" s="119">
        <f t="shared" si="11"/>
        <v>100000</v>
      </c>
      <c r="T16" s="119">
        <f t="shared" si="5"/>
        <v>0</v>
      </c>
      <c r="U16" s="118">
        <f t="shared" si="6"/>
        <v>0</v>
      </c>
      <c r="V16" s="117">
        <f t="shared" si="7"/>
        <v>1</v>
      </c>
      <c r="W16" s="116">
        <f t="shared" si="8"/>
        <v>54026.888450197563</v>
      </c>
      <c r="X16" s="116">
        <f>SUM(W16:W$109)</f>
        <v>723861.34622796788</v>
      </c>
      <c r="Y16" s="116">
        <f>SUM(X16:X$109)</f>
        <v>9558089.164598478</v>
      </c>
      <c r="Z16" s="116">
        <f t="shared" si="9"/>
        <v>0</v>
      </c>
      <c r="AA16" s="116">
        <f>SUM(Z16:Z$109)</f>
        <v>374.88101052049524</v>
      </c>
      <c r="AB16" s="115">
        <f>SUM(AA16:AA$109)</f>
        <v>12785.786219107878</v>
      </c>
    </row>
    <row r="17" spans="2:28">
      <c r="B17" s="123">
        <v>9</v>
      </c>
      <c r="C17" s="149"/>
      <c r="D17" s="148"/>
      <c r="F17" s="120">
        <v>9</v>
      </c>
      <c r="G17" s="119">
        <f t="shared" si="10"/>
        <v>100000</v>
      </c>
      <c r="H17" s="119">
        <f t="shared" si="0"/>
        <v>0</v>
      </c>
      <c r="I17" s="121">
        <f t="shared" si="1"/>
        <v>0</v>
      </c>
      <c r="J17" s="117">
        <f t="shared" si="2"/>
        <v>1</v>
      </c>
      <c r="K17" s="116">
        <f t="shared" si="3"/>
        <v>50024.896713145885</v>
      </c>
      <c r="L17" s="116">
        <f>SUM(K17:K$109)</f>
        <v>664946.39245113544</v>
      </c>
      <c r="M17" s="116">
        <f>SUM(L17:L$109)</f>
        <v>8632706.8299245238</v>
      </c>
      <c r="N17" s="116">
        <f t="shared" si="4"/>
        <v>0</v>
      </c>
      <c r="O17" s="116">
        <f>SUM(N17:N$109)</f>
        <v>741.08772936570199</v>
      </c>
      <c r="P17" s="115">
        <f>SUM(O17:O$109)</f>
        <v>22834.206443365925</v>
      </c>
      <c r="R17" s="120">
        <v>9</v>
      </c>
      <c r="S17" s="119">
        <f t="shared" si="11"/>
        <v>100000</v>
      </c>
      <c r="T17" s="119">
        <f t="shared" si="5"/>
        <v>0</v>
      </c>
      <c r="U17" s="118">
        <f t="shared" si="6"/>
        <v>0</v>
      </c>
      <c r="V17" s="117">
        <f t="shared" si="7"/>
        <v>1</v>
      </c>
      <c r="W17" s="116">
        <f t="shared" si="8"/>
        <v>50024.896713145885</v>
      </c>
      <c r="X17" s="116">
        <f>SUM(W17:W$109)</f>
        <v>669834.45777777024</v>
      </c>
      <c r="Y17" s="116">
        <f>SUM(X17:X$109)</f>
        <v>8834227.8183705118</v>
      </c>
      <c r="Z17" s="116">
        <f t="shared" si="9"/>
        <v>0</v>
      </c>
      <c r="AA17" s="116">
        <f>SUM(Z17:Z$109)</f>
        <v>374.88101052049524</v>
      </c>
      <c r="AB17" s="115">
        <f>SUM(AA17:AA$109)</f>
        <v>12410.905208587385</v>
      </c>
    </row>
    <row r="18" spans="2:28">
      <c r="B18" s="123">
        <v>10</v>
      </c>
      <c r="C18" s="149"/>
      <c r="D18" s="148"/>
      <c r="F18" s="120">
        <v>10</v>
      </c>
      <c r="G18" s="119">
        <f t="shared" si="10"/>
        <v>100000</v>
      </c>
      <c r="H18" s="119">
        <f t="shared" si="0"/>
        <v>0</v>
      </c>
      <c r="I18" s="121">
        <f t="shared" si="1"/>
        <v>0</v>
      </c>
      <c r="J18" s="117">
        <f t="shared" si="2"/>
        <v>1</v>
      </c>
      <c r="K18" s="116">
        <f t="shared" si="3"/>
        <v>46319.348808468407</v>
      </c>
      <c r="L18" s="116">
        <f>SUM(K18:K$109)</f>
        <v>614921.49573798955</v>
      </c>
      <c r="M18" s="116">
        <f>SUM(L18:L$109)</f>
        <v>7967760.4374733837</v>
      </c>
      <c r="N18" s="116">
        <f t="shared" si="4"/>
        <v>0</v>
      </c>
      <c r="O18" s="116">
        <f>SUM(N18:N$109)</f>
        <v>741.08772936570199</v>
      </c>
      <c r="P18" s="115">
        <f>SUM(O18:O$109)</f>
        <v>22093.118714000222</v>
      </c>
      <c r="R18" s="120">
        <v>10</v>
      </c>
      <c r="S18" s="119">
        <f t="shared" si="11"/>
        <v>100000</v>
      </c>
      <c r="T18" s="119">
        <f t="shared" si="5"/>
        <v>0</v>
      </c>
      <c r="U18" s="118">
        <f t="shared" si="6"/>
        <v>0</v>
      </c>
      <c r="V18" s="117">
        <f t="shared" si="7"/>
        <v>1</v>
      </c>
      <c r="W18" s="116">
        <f t="shared" si="8"/>
        <v>46319.348808468407</v>
      </c>
      <c r="X18" s="116">
        <f>SUM(W18:W$109)</f>
        <v>619809.56106462446</v>
      </c>
      <c r="Y18" s="116">
        <f>SUM(X18:X$109)</f>
        <v>8164393.360592748</v>
      </c>
      <c r="Z18" s="116">
        <f t="shared" si="9"/>
        <v>0</v>
      </c>
      <c r="AA18" s="116">
        <f>SUM(Z18:Z$109)</f>
        <v>374.88101052049524</v>
      </c>
      <c r="AB18" s="115">
        <f>SUM(AA18:AA$109)</f>
        <v>12036.024198066889</v>
      </c>
    </row>
    <row r="19" spans="2:28">
      <c r="B19" s="123">
        <v>11</v>
      </c>
      <c r="C19" s="149"/>
      <c r="D19" s="148"/>
      <c r="F19" s="120">
        <v>11</v>
      </c>
      <c r="G19" s="119">
        <f t="shared" si="10"/>
        <v>100000</v>
      </c>
      <c r="H19" s="119">
        <f t="shared" si="0"/>
        <v>0</v>
      </c>
      <c r="I19" s="121">
        <f t="shared" si="1"/>
        <v>0</v>
      </c>
      <c r="J19" s="117">
        <f t="shared" si="2"/>
        <v>1</v>
      </c>
      <c r="K19" s="116">
        <f t="shared" si="3"/>
        <v>42888.285933767038</v>
      </c>
      <c r="L19" s="116">
        <f>SUM(K19:K$109)</f>
        <v>568602.14692952088</v>
      </c>
      <c r="M19" s="116">
        <f>SUM(L19:L$109)</f>
        <v>7352838.9417353934</v>
      </c>
      <c r="N19" s="116">
        <f t="shared" si="4"/>
        <v>0</v>
      </c>
      <c r="O19" s="116">
        <f>SUM(N19:N$109)</f>
        <v>741.08772936570199</v>
      </c>
      <c r="P19" s="115">
        <f>SUM(O19:O$109)</f>
        <v>21352.030984634515</v>
      </c>
      <c r="R19" s="120">
        <v>11</v>
      </c>
      <c r="S19" s="119">
        <f t="shared" si="11"/>
        <v>100000</v>
      </c>
      <c r="T19" s="119">
        <f t="shared" si="5"/>
        <v>0</v>
      </c>
      <c r="U19" s="118">
        <f t="shared" si="6"/>
        <v>0</v>
      </c>
      <c r="V19" s="117">
        <f t="shared" si="7"/>
        <v>1</v>
      </c>
      <c r="W19" s="116">
        <f t="shared" si="8"/>
        <v>42888.285933767038</v>
      </c>
      <c r="X19" s="116">
        <f>SUM(W19:W$109)</f>
        <v>573490.21225615591</v>
      </c>
      <c r="Y19" s="116">
        <f>SUM(X19:X$109)</f>
        <v>7544583.7995281247</v>
      </c>
      <c r="Z19" s="116">
        <f t="shared" si="9"/>
        <v>0</v>
      </c>
      <c r="AA19" s="116">
        <f>SUM(Z19:Z$109)</f>
        <v>374.88101052049524</v>
      </c>
      <c r="AB19" s="115">
        <f>SUM(AA19:AA$109)</f>
        <v>11661.143187546395</v>
      </c>
    </row>
    <row r="20" spans="2:28">
      <c r="B20" s="123">
        <v>12</v>
      </c>
      <c r="C20" s="149"/>
      <c r="D20" s="148"/>
      <c r="F20" s="120">
        <v>12</v>
      </c>
      <c r="G20" s="119">
        <f t="shared" si="10"/>
        <v>100000</v>
      </c>
      <c r="H20" s="119">
        <f t="shared" si="0"/>
        <v>0</v>
      </c>
      <c r="I20" s="121">
        <f t="shared" si="1"/>
        <v>0</v>
      </c>
      <c r="J20" s="117">
        <f t="shared" si="2"/>
        <v>1</v>
      </c>
      <c r="K20" s="116">
        <f t="shared" si="3"/>
        <v>39711.375864599111</v>
      </c>
      <c r="L20" s="116">
        <f>SUM(K20:K$109)</f>
        <v>525713.86099575413</v>
      </c>
      <c r="M20" s="116">
        <f>SUM(L20:L$109)</f>
        <v>6784236.7948058723</v>
      </c>
      <c r="N20" s="116">
        <f t="shared" si="4"/>
        <v>0</v>
      </c>
      <c r="O20" s="116">
        <f>SUM(N20:N$109)</f>
        <v>741.08772936570199</v>
      </c>
      <c r="P20" s="115">
        <f>SUM(O20:O$109)</f>
        <v>20610.943255268812</v>
      </c>
      <c r="R20" s="120">
        <v>12</v>
      </c>
      <c r="S20" s="119">
        <f t="shared" si="11"/>
        <v>100000</v>
      </c>
      <c r="T20" s="119">
        <f t="shared" si="5"/>
        <v>0</v>
      </c>
      <c r="U20" s="118">
        <f t="shared" si="6"/>
        <v>0</v>
      </c>
      <c r="V20" s="117">
        <f t="shared" si="7"/>
        <v>1</v>
      </c>
      <c r="W20" s="116">
        <f t="shared" si="8"/>
        <v>39711.375864599111</v>
      </c>
      <c r="X20" s="116">
        <f>SUM(W20:W$109)</f>
        <v>530601.92632238916</v>
      </c>
      <c r="Y20" s="116">
        <f>SUM(X20:X$109)</f>
        <v>6971093.5872719688</v>
      </c>
      <c r="Z20" s="116">
        <f t="shared" si="9"/>
        <v>0</v>
      </c>
      <c r="AA20" s="116">
        <f>SUM(Z20:Z$109)</f>
        <v>374.88101052049524</v>
      </c>
      <c r="AB20" s="115">
        <f>SUM(AA20:AA$109)</f>
        <v>11286.262177025899</v>
      </c>
    </row>
    <row r="21" spans="2:28">
      <c r="B21" s="123">
        <v>13</v>
      </c>
      <c r="C21" s="149"/>
      <c r="D21" s="148"/>
      <c r="F21" s="120">
        <v>13</v>
      </c>
      <c r="G21" s="119">
        <f t="shared" si="10"/>
        <v>100000</v>
      </c>
      <c r="H21" s="119">
        <f t="shared" si="0"/>
        <v>0</v>
      </c>
      <c r="I21" s="121">
        <f t="shared" si="1"/>
        <v>0</v>
      </c>
      <c r="J21" s="117">
        <f t="shared" si="2"/>
        <v>1</v>
      </c>
      <c r="K21" s="116">
        <f t="shared" si="3"/>
        <v>36769.792467221392</v>
      </c>
      <c r="L21" s="116">
        <f>SUM(K21:K$109)</f>
        <v>486002.48513115506</v>
      </c>
      <c r="M21" s="116">
        <f>SUM(L21:L$109)</f>
        <v>6258522.9338101186</v>
      </c>
      <c r="N21" s="116">
        <f t="shared" si="4"/>
        <v>0</v>
      </c>
      <c r="O21" s="116">
        <f>SUM(N21:N$109)</f>
        <v>741.08772936570199</v>
      </c>
      <c r="P21" s="115">
        <f>SUM(O21:O$109)</f>
        <v>19869.855525903116</v>
      </c>
      <c r="R21" s="120">
        <v>13</v>
      </c>
      <c r="S21" s="119">
        <f t="shared" si="11"/>
        <v>100000</v>
      </c>
      <c r="T21" s="119">
        <f t="shared" si="5"/>
        <v>0</v>
      </c>
      <c r="U21" s="118">
        <f t="shared" si="6"/>
        <v>0</v>
      </c>
      <c r="V21" s="117">
        <f t="shared" si="7"/>
        <v>1</v>
      </c>
      <c r="W21" s="116">
        <f t="shared" si="8"/>
        <v>36769.792467221392</v>
      </c>
      <c r="X21" s="116">
        <f>SUM(W21:W$109)</f>
        <v>490890.55045779014</v>
      </c>
      <c r="Y21" s="116">
        <f>SUM(X21:X$109)</f>
        <v>6440491.6609495785</v>
      </c>
      <c r="Z21" s="116">
        <f t="shared" si="9"/>
        <v>0</v>
      </c>
      <c r="AA21" s="116">
        <f>SUM(Z21:Z$109)</f>
        <v>374.88101052049524</v>
      </c>
      <c r="AB21" s="115">
        <f>SUM(AA21:AA$109)</f>
        <v>10911.381166505405</v>
      </c>
    </row>
    <row r="22" spans="2:28">
      <c r="B22" s="123">
        <v>14</v>
      </c>
      <c r="C22" s="149"/>
      <c r="D22" s="148"/>
      <c r="F22" s="120">
        <v>14</v>
      </c>
      <c r="G22" s="119">
        <f t="shared" si="10"/>
        <v>100000</v>
      </c>
      <c r="H22" s="119">
        <f t="shared" si="0"/>
        <v>0</v>
      </c>
      <c r="I22" s="121">
        <f t="shared" si="1"/>
        <v>0</v>
      </c>
      <c r="J22" s="117">
        <f t="shared" si="2"/>
        <v>1</v>
      </c>
      <c r="K22" s="116">
        <f t="shared" si="3"/>
        <v>34046.104136316106</v>
      </c>
      <c r="L22" s="116">
        <f>SUM(K22:K$109)</f>
        <v>449232.69266393367</v>
      </c>
      <c r="M22" s="116">
        <f>SUM(L22:L$109)</f>
        <v>5772520.448678962</v>
      </c>
      <c r="N22" s="116">
        <f t="shared" si="4"/>
        <v>0</v>
      </c>
      <c r="O22" s="116">
        <f>SUM(N22:N$109)</f>
        <v>741.08772936570199</v>
      </c>
      <c r="P22" s="115">
        <f>SUM(O22:O$109)</f>
        <v>19128.767796537413</v>
      </c>
      <c r="R22" s="120">
        <v>14</v>
      </c>
      <c r="S22" s="119">
        <f t="shared" si="11"/>
        <v>100000</v>
      </c>
      <c r="T22" s="119">
        <f t="shared" si="5"/>
        <v>0</v>
      </c>
      <c r="U22" s="118">
        <f t="shared" si="6"/>
        <v>0</v>
      </c>
      <c r="V22" s="117">
        <f t="shared" si="7"/>
        <v>1</v>
      </c>
      <c r="W22" s="116">
        <f t="shared" si="8"/>
        <v>34046.104136316106</v>
      </c>
      <c r="X22" s="116">
        <f>SUM(W22:W$109)</f>
        <v>454120.75799056876</v>
      </c>
      <c r="Y22" s="116">
        <f>SUM(X22:X$109)</f>
        <v>5949601.1104917871</v>
      </c>
      <c r="Z22" s="116">
        <f t="shared" si="9"/>
        <v>0</v>
      </c>
      <c r="AA22" s="116">
        <f>SUM(Z22:Z$109)</f>
        <v>374.88101052049524</v>
      </c>
      <c r="AB22" s="115">
        <f>SUM(AA22:AA$109)</f>
        <v>10536.50015598491</v>
      </c>
    </row>
    <row r="23" spans="2:28">
      <c r="B23" s="123">
        <v>15</v>
      </c>
      <c r="C23" s="149"/>
      <c r="D23" s="148"/>
      <c r="F23" s="120">
        <v>15</v>
      </c>
      <c r="G23" s="119">
        <f t="shared" si="10"/>
        <v>100000</v>
      </c>
      <c r="H23" s="119">
        <f t="shared" si="0"/>
        <v>0</v>
      </c>
      <c r="I23" s="121">
        <f t="shared" si="1"/>
        <v>0</v>
      </c>
      <c r="J23" s="117">
        <f t="shared" si="2"/>
        <v>1</v>
      </c>
      <c r="K23" s="116">
        <f t="shared" si="3"/>
        <v>31524.170496588977</v>
      </c>
      <c r="L23" s="116">
        <f>SUM(K23:K$109)</f>
        <v>415186.58852761757</v>
      </c>
      <c r="M23" s="116">
        <f>SUM(L23:L$109)</f>
        <v>5323287.7560150279</v>
      </c>
      <c r="N23" s="116">
        <f t="shared" si="4"/>
        <v>0</v>
      </c>
      <c r="O23" s="116">
        <f>SUM(N23:N$109)</f>
        <v>741.08772936570199</v>
      </c>
      <c r="P23" s="115">
        <f>SUM(O23:O$109)</f>
        <v>18387.680067171706</v>
      </c>
      <c r="R23" s="120">
        <v>15</v>
      </c>
      <c r="S23" s="119">
        <f t="shared" si="11"/>
        <v>100000</v>
      </c>
      <c r="T23" s="119">
        <f t="shared" si="5"/>
        <v>0</v>
      </c>
      <c r="U23" s="118">
        <f t="shared" si="6"/>
        <v>0</v>
      </c>
      <c r="V23" s="117">
        <f t="shared" si="7"/>
        <v>1</v>
      </c>
      <c r="W23" s="116">
        <f t="shared" si="8"/>
        <v>31524.170496588977</v>
      </c>
      <c r="X23" s="116">
        <f>SUM(W23:W$109)</f>
        <v>420074.6538542526</v>
      </c>
      <c r="Y23" s="116">
        <f>SUM(X23:X$109)</f>
        <v>5495480.3525012191</v>
      </c>
      <c r="Z23" s="116">
        <f t="shared" si="9"/>
        <v>0</v>
      </c>
      <c r="AA23" s="116">
        <f>SUM(Z23:Z$109)</f>
        <v>374.88101052049524</v>
      </c>
      <c r="AB23" s="115">
        <f>SUM(AA23:AA$109)</f>
        <v>10161.619145464416</v>
      </c>
    </row>
    <row r="24" spans="2:28">
      <c r="B24" s="123">
        <v>16</v>
      </c>
      <c r="C24" s="149"/>
      <c r="D24" s="148"/>
      <c r="F24" s="120">
        <v>16</v>
      </c>
      <c r="G24" s="119">
        <f t="shared" si="10"/>
        <v>100000</v>
      </c>
      <c r="H24" s="119">
        <f t="shared" si="0"/>
        <v>0</v>
      </c>
      <c r="I24" s="121">
        <f t="shared" si="1"/>
        <v>0</v>
      </c>
      <c r="J24" s="117">
        <f t="shared" si="2"/>
        <v>1</v>
      </c>
      <c r="K24" s="116">
        <f t="shared" si="3"/>
        <v>29189.046756100906</v>
      </c>
      <c r="L24" s="116">
        <f>SUM(K24:K$109)</f>
        <v>383662.41803102865</v>
      </c>
      <c r="M24" s="116">
        <f>SUM(L24:L$109)</f>
        <v>4908101.1674874099</v>
      </c>
      <c r="N24" s="116">
        <f t="shared" si="4"/>
        <v>0</v>
      </c>
      <c r="O24" s="116">
        <f>SUM(N24:N$109)</f>
        <v>741.08772936570199</v>
      </c>
      <c r="P24" s="115">
        <f>SUM(O24:O$109)</f>
        <v>17646.592337806007</v>
      </c>
      <c r="R24" s="120">
        <v>16</v>
      </c>
      <c r="S24" s="119">
        <f t="shared" si="11"/>
        <v>100000</v>
      </c>
      <c r="T24" s="119">
        <f t="shared" si="5"/>
        <v>0</v>
      </c>
      <c r="U24" s="118">
        <f t="shared" si="6"/>
        <v>0</v>
      </c>
      <c r="V24" s="117">
        <f t="shared" si="7"/>
        <v>1</v>
      </c>
      <c r="W24" s="116">
        <f t="shared" si="8"/>
        <v>29189.046756100906</v>
      </c>
      <c r="X24" s="116">
        <f>SUM(W24:W$109)</f>
        <v>388550.48335766356</v>
      </c>
      <c r="Y24" s="116">
        <f>SUM(X24:X$109)</f>
        <v>5075405.6986469654</v>
      </c>
      <c r="Z24" s="116">
        <f t="shared" si="9"/>
        <v>0</v>
      </c>
      <c r="AA24" s="116">
        <f>SUM(Z24:Z$109)</f>
        <v>374.88101052049524</v>
      </c>
      <c r="AB24" s="115">
        <f>SUM(AA24:AA$109)</f>
        <v>9786.7381349439202</v>
      </c>
    </row>
    <row r="25" spans="2:28">
      <c r="B25" s="123">
        <v>17</v>
      </c>
      <c r="C25" s="149"/>
      <c r="D25" s="148"/>
      <c r="F25" s="120">
        <v>17</v>
      </c>
      <c r="G25" s="119">
        <f t="shared" si="10"/>
        <v>100000</v>
      </c>
      <c r="H25" s="119">
        <f t="shared" si="0"/>
        <v>0</v>
      </c>
      <c r="I25" s="121">
        <f t="shared" si="1"/>
        <v>0</v>
      </c>
      <c r="J25" s="117">
        <f t="shared" si="2"/>
        <v>1</v>
      </c>
      <c r="K25" s="116">
        <f t="shared" si="3"/>
        <v>27026.89514453787</v>
      </c>
      <c r="L25" s="116">
        <f>SUM(K25:K$109)</f>
        <v>354473.37127492775</v>
      </c>
      <c r="M25" s="116">
        <f>SUM(L25:L$109)</f>
        <v>4524438.7494563814</v>
      </c>
      <c r="N25" s="116">
        <f t="shared" si="4"/>
        <v>0</v>
      </c>
      <c r="O25" s="116">
        <f>SUM(N25:N$109)</f>
        <v>741.08772936570199</v>
      </c>
      <c r="P25" s="115">
        <f>SUM(O25:O$109)</f>
        <v>16905.5046084403</v>
      </c>
      <c r="R25" s="120">
        <v>17</v>
      </c>
      <c r="S25" s="119">
        <f t="shared" si="11"/>
        <v>100000</v>
      </c>
      <c r="T25" s="119">
        <f t="shared" si="5"/>
        <v>0</v>
      </c>
      <c r="U25" s="118">
        <f t="shared" si="6"/>
        <v>0</v>
      </c>
      <c r="V25" s="117">
        <f t="shared" si="7"/>
        <v>1</v>
      </c>
      <c r="W25" s="116">
        <f t="shared" si="8"/>
        <v>27026.89514453787</v>
      </c>
      <c r="X25" s="116">
        <f>SUM(W25:W$109)</f>
        <v>359361.43660156266</v>
      </c>
      <c r="Y25" s="116">
        <f>SUM(X25:X$109)</f>
        <v>4686855.2152893022</v>
      </c>
      <c r="Z25" s="116">
        <f t="shared" si="9"/>
        <v>0</v>
      </c>
      <c r="AA25" s="116">
        <f>SUM(Z25:Z$109)</f>
        <v>374.88101052049524</v>
      </c>
      <c r="AB25" s="115">
        <f>SUM(AA25:AA$109)</f>
        <v>9411.8571244234226</v>
      </c>
    </row>
    <row r="26" spans="2:28">
      <c r="B26" s="123">
        <v>18</v>
      </c>
      <c r="C26" s="147">
        <f>Тбл_Dth!C26*Тбл_Dth!$D$2+Тбл_Dis!C26*Тбл_Dis!$D$2-Тбл_Dth!C26*Тбл_Dth!$D$2*Тбл_Dis!C26*Тбл_Dis!$D$2</f>
        <v>7.168190117647059E-4</v>
      </c>
      <c r="D26" s="146">
        <f>Тбл_Dth!D26*Тбл_Dth!$D$2+Тбл_Dis!D26*Тбл_Dis!$D$2-Тбл_Dth!D26*Тбл_Dth!$D$2*Тбл_Dis!D26*Тбл_Dis!$D$2</f>
        <v>3.8327626470588232E-4</v>
      </c>
      <c r="F26" s="120">
        <v>18</v>
      </c>
      <c r="G26" s="119">
        <f t="shared" si="10"/>
        <v>100000</v>
      </c>
      <c r="H26" s="119">
        <f t="shared" si="0"/>
        <v>71.681901176470589</v>
      </c>
      <c r="I26" s="121">
        <f t="shared" si="1"/>
        <v>7.168190117647059E-4</v>
      </c>
      <c r="J26" s="117">
        <f t="shared" si="2"/>
        <v>0.99928318098823532</v>
      </c>
      <c r="K26" s="116">
        <f t="shared" si="3"/>
        <v>25024.902911609137</v>
      </c>
      <c r="L26" s="116">
        <f>SUM(K26:K$109)</f>
        <v>327446.4761303899</v>
      </c>
      <c r="M26" s="116">
        <f>SUM(L26:L$109)</f>
        <v>4169965.3781814571</v>
      </c>
      <c r="N26" s="116">
        <f t="shared" si="4"/>
        <v>16.609561272784603</v>
      </c>
      <c r="O26" s="116">
        <f>SUM(N26:N$109)</f>
        <v>741.08772936570199</v>
      </c>
      <c r="P26" s="115">
        <f>SUM(O26:O$109)</f>
        <v>16164.416879074597</v>
      </c>
      <c r="R26" s="120">
        <v>18</v>
      </c>
      <c r="S26" s="119">
        <f t="shared" si="11"/>
        <v>100000</v>
      </c>
      <c r="T26" s="119">
        <f t="shared" si="5"/>
        <v>38.327626470588228</v>
      </c>
      <c r="U26" s="118">
        <f t="shared" si="6"/>
        <v>3.8327626470588232E-4</v>
      </c>
      <c r="V26" s="117">
        <f t="shared" si="7"/>
        <v>0.99961672373529409</v>
      </c>
      <c r="W26" s="116">
        <f t="shared" si="8"/>
        <v>25024.902911609137</v>
      </c>
      <c r="X26" s="116">
        <f>SUM(W26:W$109)</f>
        <v>332334.54145702481</v>
      </c>
      <c r="Y26" s="116">
        <f>SUM(X26:X$109)</f>
        <v>4327493.7786877388</v>
      </c>
      <c r="Z26" s="116">
        <f t="shared" si="9"/>
        <v>8.8809734375823215</v>
      </c>
      <c r="AA26" s="116">
        <f>SUM(Z26:Z$109)</f>
        <v>374.88101052049524</v>
      </c>
      <c r="AB26" s="115">
        <f>SUM(AA26:AA$109)</f>
        <v>9036.9761139029288</v>
      </c>
    </row>
    <row r="27" spans="2:28">
      <c r="B27" s="123">
        <v>19</v>
      </c>
      <c r="C27" s="147">
        <f>Тбл_Dth!C27*Тбл_Dth!$D$2+Тбл_Dis!C27*Тбл_Dis!$D$2-Тбл_Dth!C27*Тбл_Dth!$D$2*Тбл_Dis!C27*Тбл_Dis!$D$2</f>
        <v>8.0930334117647047E-4</v>
      </c>
      <c r="D27" s="146">
        <f>Тбл_Dth!D27*Тбл_Dth!$D$2+Тбл_Dis!D27*Тбл_Dis!$D$2-Тбл_Dth!D27*Тбл_Dth!$D$2*Тбл_Dis!D27*Тбл_Dis!$D$2</f>
        <v>4.0827308823529408E-4</v>
      </c>
      <c r="F27" s="120">
        <v>19</v>
      </c>
      <c r="G27" s="119">
        <f t="shared" si="10"/>
        <v>99928.318098823525</v>
      </c>
      <c r="H27" s="119">
        <f t="shared" si="0"/>
        <v>80.872321715523043</v>
      </c>
      <c r="I27" s="121">
        <f t="shared" si="1"/>
        <v>8.0930334117647047E-4</v>
      </c>
      <c r="J27" s="117">
        <f t="shared" si="2"/>
        <v>0.99919069665882354</v>
      </c>
      <c r="K27" s="116">
        <f t="shared" si="3"/>
        <v>23154.596838365305</v>
      </c>
      <c r="L27" s="116">
        <f>SUM(K27:K$109)</f>
        <v>302421.57321878074</v>
      </c>
      <c r="M27" s="116">
        <f>SUM(L27:L$109)</f>
        <v>3842518.9020510674</v>
      </c>
      <c r="N27" s="116">
        <f t="shared" si="4"/>
        <v>17.351011652669612</v>
      </c>
      <c r="O27" s="116">
        <f>SUM(N27:N$109)</f>
        <v>724.47816809291737</v>
      </c>
      <c r="P27" s="115">
        <f>SUM(O27:O$109)</f>
        <v>15423.329149708898</v>
      </c>
      <c r="R27" s="120">
        <v>19</v>
      </c>
      <c r="S27" s="119">
        <f t="shared" si="11"/>
        <v>99961.672373529407</v>
      </c>
      <c r="T27" s="119">
        <f t="shared" si="5"/>
        <v>40.811660685105529</v>
      </c>
      <c r="U27" s="118">
        <f t="shared" si="6"/>
        <v>4.0827308823529408E-4</v>
      </c>
      <c r="V27" s="117">
        <f t="shared" si="7"/>
        <v>0.99959172691176468</v>
      </c>
      <c r="W27" s="116">
        <f t="shared" si="8"/>
        <v>23162.325426200507</v>
      </c>
      <c r="X27" s="116">
        <f>SUM(W27:W$109)</f>
        <v>307309.63854541571</v>
      </c>
      <c r="Y27" s="116">
        <f>SUM(X27:X$109)</f>
        <v>3995159.2372307121</v>
      </c>
      <c r="Z27" s="116">
        <f t="shared" si="9"/>
        <v>8.7560686411719946</v>
      </c>
      <c r="AA27" s="116">
        <f>SUM(Z27:Z$109)</f>
        <v>366.00003708291291</v>
      </c>
      <c r="AB27" s="115">
        <f>SUM(AA27:AA$109)</f>
        <v>8662.0951033824331</v>
      </c>
    </row>
    <row r="28" spans="2:28">
      <c r="B28" s="123">
        <v>20</v>
      </c>
      <c r="C28" s="147">
        <f>Тбл_Dth!C28*Тбл_Dth!$D$2+Тбл_Dis!C28*Тбл_Dis!$D$2-Тбл_Dth!C28*Тбл_Dth!$D$2*Тбл_Dis!C28*Тбл_Dis!$D$2</f>
        <v>9.1053618823529409E-4</v>
      </c>
      <c r="D28" s="146">
        <f>Тбл_Dth!D28*Тбл_Dth!$D$2+Тбл_Dis!D28*Тбл_Dis!$D$2-Тбл_Dth!D28*Тбл_Dth!$D$2*Тбл_Dis!D28*Тбл_Dis!$D$2</f>
        <v>4.3701943529411762E-4</v>
      </c>
      <c r="F28" s="120">
        <v>20</v>
      </c>
      <c r="G28" s="119">
        <f t="shared" si="10"/>
        <v>99847.445777108005</v>
      </c>
      <c r="H28" s="119">
        <f t="shared" si="0"/>
        <v>90.914712682918136</v>
      </c>
      <c r="I28" s="121">
        <f t="shared" si="1"/>
        <v>9.1053618823529409E-4</v>
      </c>
      <c r="J28" s="117">
        <f t="shared" si="2"/>
        <v>0.99908946381176467</v>
      </c>
      <c r="K28" s="116">
        <f t="shared" si="3"/>
        <v>21422.090505352244</v>
      </c>
      <c r="L28" s="116">
        <f>SUM(K28:K$109)</f>
        <v>279266.97638041544</v>
      </c>
      <c r="M28" s="116">
        <f>SUM(L28:L$109)</f>
        <v>3540097.3288322869</v>
      </c>
      <c r="N28" s="116">
        <f t="shared" si="4"/>
        <v>18.060730215532327</v>
      </c>
      <c r="O28" s="116">
        <f>SUM(N28:N$109)</f>
        <v>707.12715644024763</v>
      </c>
      <c r="P28" s="115">
        <f>SUM(O28:O$109)</f>
        <v>14698.850981615979</v>
      </c>
      <c r="R28" s="120">
        <v>20</v>
      </c>
      <c r="S28" s="119">
        <f t="shared" si="11"/>
        <v>99920.860712844296</v>
      </c>
      <c r="T28" s="119">
        <f t="shared" si="5"/>
        <v>43.667358122829398</v>
      </c>
      <c r="U28" s="118">
        <f t="shared" si="6"/>
        <v>4.3701943529411762E-4</v>
      </c>
      <c r="V28" s="117">
        <f t="shared" si="7"/>
        <v>0.99956298056470583</v>
      </c>
      <c r="W28" s="116">
        <f t="shared" si="8"/>
        <v>21437.841548211149</v>
      </c>
      <c r="X28" s="116">
        <f>SUM(W28:W$109)</f>
        <v>284147.31311921531</v>
      </c>
      <c r="Y28" s="116">
        <f>SUM(X28:X$109)</f>
        <v>3687849.5986852963</v>
      </c>
      <c r="Z28" s="116">
        <f t="shared" si="9"/>
        <v>8.6747716734481539</v>
      </c>
      <c r="AA28" s="116">
        <f>SUM(Z28:Z$109)</f>
        <v>357.24396844174089</v>
      </c>
      <c r="AB28" s="115">
        <f>SUM(AA28:AA$109)</f>
        <v>8296.0950662995183</v>
      </c>
    </row>
    <row r="29" spans="2:28">
      <c r="B29" s="123">
        <v>21</v>
      </c>
      <c r="C29" s="147">
        <f>Тбл_Dth!C29*Тбл_Dth!$D$2+Тбл_Dis!C29*Тбл_Dis!$D$2-Тбл_Dth!C29*Тбл_Dth!$D$2*Тбл_Dis!C29*Тбл_Dis!$D$2</f>
        <v>1.0180179764705884E-3</v>
      </c>
      <c r="D29" s="146">
        <f>Тбл_Dth!D29*Тбл_Dth!$D$2+Тбл_Dis!D29*Тбл_Dis!$D$2-Тбл_Dth!D29*Тбл_Dth!$D$2*Тбл_Dis!D29*Тбл_Dis!$D$2</f>
        <v>4.657657823529412E-4</v>
      </c>
      <c r="F29" s="120">
        <v>21</v>
      </c>
      <c r="G29" s="119">
        <f t="shared" si="10"/>
        <v>99756.531064425086</v>
      </c>
      <c r="H29" s="119">
        <f t="shared" si="0"/>
        <v>101.55394189393141</v>
      </c>
      <c r="I29" s="121">
        <f t="shared" si="1"/>
        <v>1.0180179764705884E-3</v>
      </c>
      <c r="J29" s="117">
        <f t="shared" si="2"/>
        <v>0.99898198202352939</v>
      </c>
      <c r="K29" s="116">
        <f t="shared" si="3"/>
        <v>19817.208256221726</v>
      </c>
      <c r="L29" s="116">
        <f>SUM(K29:K$109)</f>
        <v>257844.88587506299</v>
      </c>
      <c r="M29" s="116">
        <f>SUM(L29:L$109)</f>
        <v>3260830.3524518721</v>
      </c>
      <c r="N29" s="116">
        <f t="shared" si="4"/>
        <v>18.679883563236181</v>
      </c>
      <c r="O29" s="116">
        <f>SUM(N29:N$109)</f>
        <v>689.06642622471531</v>
      </c>
      <c r="P29" s="115">
        <f>SUM(O29:O$109)</f>
        <v>13991.72382517573</v>
      </c>
      <c r="R29" s="120">
        <v>21</v>
      </c>
      <c r="S29" s="119">
        <f t="shared" si="11"/>
        <v>99877.193354721472</v>
      </c>
      <c r="T29" s="119">
        <f t="shared" si="5"/>
        <v>46.519379102077828</v>
      </c>
      <c r="U29" s="118">
        <f t="shared" si="6"/>
        <v>4.657657823529412E-4</v>
      </c>
      <c r="V29" s="117">
        <f t="shared" si="7"/>
        <v>0.99953423421764709</v>
      </c>
      <c r="W29" s="116">
        <f t="shared" si="8"/>
        <v>19841.17851370724</v>
      </c>
      <c r="X29" s="116">
        <f>SUM(W29:W$109)</f>
        <v>262709.47157100413</v>
      </c>
      <c r="Y29" s="116">
        <f>SUM(X29:X$109)</f>
        <v>3403702.2855660813</v>
      </c>
      <c r="Z29" s="116">
        <f t="shared" si="9"/>
        <v>8.5567981789270551</v>
      </c>
      <c r="AA29" s="116">
        <f>SUM(Z29:Z$109)</f>
        <v>348.56919676829278</v>
      </c>
      <c r="AB29" s="115">
        <f>SUM(AA29:AA$109)</f>
        <v>7938.8510978577751</v>
      </c>
    </row>
    <row r="30" spans="2:28">
      <c r="B30" s="123">
        <v>22</v>
      </c>
      <c r="C30" s="147">
        <f>Тбл_Dth!C30*Тбл_Dth!$D$2+Тбл_Dis!C30*Тбл_Dis!$D$2-Тбл_Dth!C30*Тбл_Dth!$D$2*Тбл_Dis!C30*Тбл_Dis!$D$2</f>
        <v>1.1317487058823529E-3</v>
      </c>
      <c r="D30" s="146">
        <f>Тбл_Dth!D30*Тбл_Dth!$D$2+Тбл_Dis!D30*Тбл_Dis!$D$2-Тбл_Dth!D30*Тбл_Dth!$D$2*Тбл_Dis!D30*Тбл_Dis!$D$2</f>
        <v>4.9826165294117656E-4</v>
      </c>
      <c r="F30" s="120">
        <v>22</v>
      </c>
      <c r="G30" s="119">
        <f t="shared" si="10"/>
        <v>99654.977122531156</v>
      </c>
      <c r="H30" s="119">
        <f t="shared" si="0"/>
        <v>112.78439139316012</v>
      </c>
      <c r="I30" s="121">
        <f t="shared" si="1"/>
        <v>1.1317487058823529E-3</v>
      </c>
      <c r="J30" s="117">
        <f t="shared" si="2"/>
        <v>0.9988682512941176</v>
      </c>
      <c r="K30" s="116">
        <f t="shared" si="3"/>
        <v>18330.587020345767</v>
      </c>
      <c r="L30" s="116">
        <f>SUM(K30:K$109)</f>
        <v>238027.67761884126</v>
      </c>
      <c r="M30" s="116">
        <f>SUM(L30:L$109)</f>
        <v>3002985.4665768095</v>
      </c>
      <c r="N30" s="116">
        <f t="shared" si="4"/>
        <v>19.208905683648311</v>
      </c>
      <c r="O30" s="116">
        <f>SUM(N30:N$109)</f>
        <v>670.3865426614791</v>
      </c>
      <c r="P30" s="115">
        <f>SUM(O30:O$109)</f>
        <v>13302.657398951018</v>
      </c>
      <c r="R30" s="120">
        <v>22</v>
      </c>
      <c r="S30" s="119">
        <f t="shared" si="11"/>
        <v>99830.6739756194</v>
      </c>
      <c r="T30" s="119">
        <f t="shared" si="5"/>
        <v>49.741796629323822</v>
      </c>
      <c r="U30" s="118">
        <f t="shared" si="6"/>
        <v>4.9826165294117656E-4</v>
      </c>
      <c r="V30" s="117">
        <f t="shared" si="7"/>
        <v>0.9995017383470588</v>
      </c>
      <c r="W30" s="116">
        <f t="shared" si="8"/>
        <v>18362.904788587035</v>
      </c>
      <c r="X30" s="116">
        <f>SUM(W30:W$109)</f>
        <v>242868.29305729689</v>
      </c>
      <c r="Y30" s="116">
        <f>SUM(X30:X$109)</f>
        <v>3140992.8139950768</v>
      </c>
      <c r="Z30" s="116">
        <f t="shared" si="9"/>
        <v>8.47178823403965</v>
      </c>
      <c r="AA30" s="116">
        <f>SUM(Z30:Z$109)</f>
        <v>340.01239858936572</v>
      </c>
      <c r="AB30" s="115">
        <f>SUM(AA30:AA$109)</f>
        <v>7590.2819010894818</v>
      </c>
    </row>
    <row r="31" spans="2:28">
      <c r="B31" s="123">
        <v>23</v>
      </c>
      <c r="C31" s="147">
        <f>Тбл_Dth!C31*Тбл_Dth!$D$2+Тбл_Dis!C31*Тбл_Dis!$D$2-Тбл_Dth!C31*Тбл_Dth!$D$2*Тбл_Dis!C31*Тбл_Dis!$D$2</f>
        <v>1.2529781647058825E-3</v>
      </c>
      <c r="D31" s="146">
        <f>Тбл_Dth!D31*Тбл_Dth!$D$2+Тбл_Dis!D31*Тбл_Dis!$D$2-Тбл_Dth!D31*Тбл_Dth!$D$2*Тбл_Dis!D31*Тбл_Dis!$D$2</f>
        <v>5.3325720588235281E-4</v>
      </c>
      <c r="F31" s="120">
        <v>23</v>
      </c>
      <c r="G31" s="119">
        <f t="shared" si="10"/>
        <v>99542.192731137999</v>
      </c>
      <c r="H31" s="119">
        <f t="shared" si="0"/>
        <v>124.72419395906053</v>
      </c>
      <c r="I31" s="121">
        <f t="shared" si="1"/>
        <v>1.2529781647058825E-3</v>
      </c>
      <c r="J31" s="117">
        <f t="shared" si="2"/>
        <v>0.99874702183529407</v>
      </c>
      <c r="K31" s="116">
        <f t="shared" si="3"/>
        <v>16953.556853895763</v>
      </c>
      <c r="L31" s="116">
        <f>SUM(K31:K$109)</f>
        <v>219697.09059849547</v>
      </c>
      <c r="M31" s="116">
        <f>SUM(L31:L$109)</f>
        <v>2764957.7889579679</v>
      </c>
      <c r="N31" s="116">
        <f t="shared" si="4"/>
        <v>19.668922733362177</v>
      </c>
      <c r="O31" s="116">
        <f>SUM(N31:N$109)</f>
        <v>651.17763697783073</v>
      </c>
      <c r="P31" s="115">
        <f>SUM(O31:O$109)</f>
        <v>12632.270856289539</v>
      </c>
      <c r="R31" s="120">
        <v>23</v>
      </c>
      <c r="S31" s="119">
        <f t="shared" si="11"/>
        <v>99780.932178990071</v>
      </c>
      <c r="T31" s="119">
        <f t="shared" si="5"/>
        <v>53.208901094104789</v>
      </c>
      <c r="U31" s="118">
        <f t="shared" si="6"/>
        <v>5.3325720588235281E-4</v>
      </c>
      <c r="V31" s="117">
        <f t="shared" si="7"/>
        <v>0.99946674279411762</v>
      </c>
      <c r="W31" s="116">
        <f t="shared" si="8"/>
        <v>16994.217830828027</v>
      </c>
      <c r="X31" s="116">
        <f>SUM(W31:W$109)</f>
        <v>224505.38826870982</v>
      </c>
      <c r="Y31" s="116">
        <f>SUM(X31:X$109)</f>
        <v>2898124.5209377795</v>
      </c>
      <c r="Z31" s="116">
        <f t="shared" si="9"/>
        <v>8.3910084413179753</v>
      </c>
      <c r="AA31" s="116">
        <f>SUM(Z31:Z$109)</f>
        <v>331.54061035532612</v>
      </c>
      <c r="AB31" s="115">
        <f>SUM(AA31:AA$109)</f>
        <v>7250.2695025001158</v>
      </c>
    </row>
    <row r="32" spans="2:28">
      <c r="B32" s="123">
        <v>24</v>
      </c>
      <c r="C32" s="147">
        <f>Тбл_Dth!C32*Тбл_Dth!$D$2+Тбл_Dis!C32*Тбл_Dis!$D$2-Тбл_Dth!C32*Тбл_Dth!$D$2*Тбл_Dis!C32*Тбл_Dis!$D$2</f>
        <v>1.3817063529411762E-3</v>
      </c>
      <c r="D32" s="146">
        <f>Тбл_Dth!D32*Тбл_Dth!$D$2+Тбл_Dis!D32*Тбл_Dis!$D$2-Тбл_Dth!D32*Тбл_Dth!$D$2*Тбл_Dis!D32*Тбл_Dis!$D$2</f>
        <v>5.7325212352941175E-4</v>
      </c>
      <c r="F32" s="120">
        <v>24</v>
      </c>
      <c r="G32" s="119">
        <f t="shared" si="10"/>
        <v>99417.468537178938</v>
      </c>
      <c r="H32" s="119">
        <f t="shared" si="0"/>
        <v>137.36574787114964</v>
      </c>
      <c r="I32" s="121">
        <f t="shared" si="1"/>
        <v>1.3817063529411762E-3</v>
      </c>
      <c r="J32" s="117">
        <f t="shared" si="2"/>
        <v>0.99861829364705879</v>
      </c>
      <c r="K32" s="116">
        <f t="shared" si="3"/>
        <v>15678.068904947901</v>
      </c>
      <c r="L32" s="116">
        <f>SUM(K32:K$109)</f>
        <v>202743.53374459976</v>
      </c>
      <c r="M32" s="116">
        <f>SUM(L32:L$109)</f>
        <v>2545260.6983594717</v>
      </c>
      <c r="N32" s="116">
        <f t="shared" si="4"/>
        <v>20.05785871094076</v>
      </c>
      <c r="O32" s="116">
        <f>SUM(N32:N$109)</f>
        <v>631.50871424446859</v>
      </c>
      <c r="P32" s="115">
        <f>SUM(O32:O$109)</f>
        <v>11981.093219311708</v>
      </c>
      <c r="R32" s="120">
        <v>24</v>
      </c>
      <c r="S32" s="119">
        <f t="shared" si="11"/>
        <v>99727.723277895973</v>
      </c>
      <c r="T32" s="119">
        <f t="shared" si="5"/>
        <v>57.169129143807417</v>
      </c>
      <c r="U32" s="118">
        <f t="shared" si="6"/>
        <v>5.7325212352941175E-4</v>
      </c>
      <c r="V32" s="117">
        <f t="shared" si="7"/>
        <v>0.99942674787647057</v>
      </c>
      <c r="W32" s="116">
        <f t="shared" si="8"/>
        <v>15726.995871955005</v>
      </c>
      <c r="X32" s="116">
        <f>SUM(W32:W$109)</f>
        <v>207511.17043788181</v>
      </c>
      <c r="Y32" s="116">
        <f>SUM(X32:X$109)</f>
        <v>2673619.1326690698</v>
      </c>
      <c r="Z32" s="116">
        <f t="shared" si="9"/>
        <v>8.3477164632745353</v>
      </c>
      <c r="AA32" s="116">
        <f>SUM(Z32:Z$109)</f>
        <v>323.14960191400809</v>
      </c>
      <c r="AB32" s="115">
        <f>SUM(AA32:AA$109)</f>
        <v>6918.7288921447898</v>
      </c>
    </row>
    <row r="33" spans="2:28">
      <c r="B33" s="123">
        <v>25</v>
      </c>
      <c r="C33" s="147">
        <f>Тбл_Dth!C33*Тбл_Dth!$D$2+Тбл_Dis!C33*Тбл_Dis!$D$2-Тбл_Dth!C33*Тбл_Dth!$D$2*Тбл_Dis!C33*Тбл_Dis!$D$2</f>
        <v>1.516683482352941E-3</v>
      </c>
      <c r="D33" s="146">
        <f>Тбл_Dth!D33*Тбл_Dth!$D$2+Тбл_Dis!D33*Тбл_Dis!$D$2-Тбл_Dth!D33*Тбл_Dth!$D$2*Тбл_Dis!D33*Тбл_Dis!$D$2</f>
        <v>6.1574672352941175E-4</v>
      </c>
      <c r="F33" s="120">
        <v>25</v>
      </c>
      <c r="G33" s="119">
        <f t="shared" si="10"/>
        <v>99280.102789307784</v>
      </c>
      <c r="H33" s="119">
        <f t="shared" si="0"/>
        <v>150.57649202684527</v>
      </c>
      <c r="I33" s="121">
        <f t="shared" si="1"/>
        <v>1.516683482352941E-3</v>
      </c>
      <c r="J33" s="117">
        <f t="shared" si="2"/>
        <v>0.9984833165176471</v>
      </c>
      <c r="K33" s="116">
        <f t="shared" si="3"/>
        <v>14496.672608833409</v>
      </c>
      <c r="L33" s="116">
        <f>SUM(K33:K$109)</f>
        <v>187065.46483965183</v>
      </c>
      <c r="M33" s="116">
        <f>SUM(L33:L$109)</f>
        <v>2342517.1646148721</v>
      </c>
      <c r="N33" s="116">
        <f t="shared" si="4"/>
        <v>20.35820731008884</v>
      </c>
      <c r="O33" s="116">
        <f>SUM(N33:N$109)</f>
        <v>611.45085553352783</v>
      </c>
      <c r="P33" s="115">
        <f>SUM(O33:O$109)</f>
        <v>11349.58450506724</v>
      </c>
      <c r="R33" s="120">
        <v>25</v>
      </c>
      <c r="S33" s="119">
        <f t="shared" si="11"/>
        <v>99670.55414875217</v>
      </c>
      <c r="T33" s="119">
        <f t="shared" si="5"/>
        <v>61.371817149454969</v>
      </c>
      <c r="U33" s="118">
        <f t="shared" si="6"/>
        <v>6.1574672352941175E-4</v>
      </c>
      <c r="V33" s="117">
        <f t="shared" si="7"/>
        <v>0.99938425327647062</v>
      </c>
      <c r="W33" s="116">
        <f t="shared" si="8"/>
        <v>14553.685498309876</v>
      </c>
      <c r="X33" s="116">
        <f>SUM(W33:W$109)</f>
        <v>191784.17456592678</v>
      </c>
      <c r="Y33" s="116">
        <f>SUM(X33:X$109)</f>
        <v>2466107.9622311881</v>
      </c>
      <c r="Z33" s="116">
        <f t="shared" si="9"/>
        <v>8.2975779267239087</v>
      </c>
      <c r="AA33" s="116">
        <f>SUM(Z33:Z$109)</f>
        <v>314.80188545073355</v>
      </c>
      <c r="AB33" s="115">
        <f>SUM(AA33:AA$109)</f>
        <v>6595.5792902307821</v>
      </c>
    </row>
    <row r="34" spans="2:28">
      <c r="B34" s="123">
        <v>26</v>
      </c>
      <c r="C34" s="147">
        <f>Тбл_Dth!C34*Тбл_Dth!$D$2+Тбл_Dis!C34*Тбл_Dis!$D$2-Тбл_Dth!C34*Тбл_Dth!$D$2*Тбл_Dis!C34*Тбл_Dis!$D$2</f>
        <v>1.6504108235294117E-3</v>
      </c>
      <c r="D34" s="146">
        <f>Тбл_Dth!D34*Тбл_Dth!$D$2+Тбл_Dis!D34*Тбл_Dis!$D$2-Тбл_Dth!D34*Тбл_Dth!$D$2*Тбл_Dis!D34*Тбл_Dis!$D$2</f>
        <v>6.5949116470588229E-4</v>
      </c>
      <c r="F34" s="120">
        <v>26</v>
      </c>
      <c r="G34" s="119">
        <f t="shared" si="10"/>
        <v>99129.526297280943</v>
      </c>
      <c r="H34" s="119">
        <f t="shared" si="0"/>
        <v>163.60444313237591</v>
      </c>
      <c r="I34" s="121">
        <f t="shared" si="1"/>
        <v>1.6504108235294117E-3</v>
      </c>
      <c r="J34" s="117">
        <f t="shared" si="2"/>
        <v>0.99834958917647054</v>
      </c>
      <c r="K34" s="116">
        <f t="shared" si="3"/>
        <v>13402.486800868994</v>
      </c>
      <c r="L34" s="116">
        <f>SUM(K34:K$109)</f>
        <v>172568.79223081845</v>
      </c>
      <c r="M34" s="116">
        <f>SUM(L34:L$109)</f>
        <v>2155451.6997752199</v>
      </c>
      <c r="N34" s="116">
        <f t="shared" si="4"/>
        <v>20.481119702189133</v>
      </c>
      <c r="O34" s="116">
        <f>SUM(N34:N$109)</f>
        <v>591.09264822343891</v>
      </c>
      <c r="P34" s="115">
        <f>SUM(O34:O$109)</f>
        <v>10738.133649533713</v>
      </c>
      <c r="R34" s="120">
        <v>26</v>
      </c>
      <c r="S34" s="119">
        <f t="shared" si="11"/>
        <v>99609.182331602715</v>
      </c>
      <c r="T34" s="119">
        <f t="shared" si="5"/>
        <v>65.69137567126927</v>
      </c>
      <c r="U34" s="118">
        <f t="shared" si="6"/>
        <v>6.5949116470588229E-4</v>
      </c>
      <c r="V34" s="117">
        <f t="shared" si="7"/>
        <v>0.99934050883529413</v>
      </c>
      <c r="W34" s="116">
        <f t="shared" si="8"/>
        <v>13467.337142730568</v>
      </c>
      <c r="X34" s="116">
        <f>SUM(W34:W$109)</f>
        <v>177230.4890676169</v>
      </c>
      <c r="Y34" s="116">
        <f>SUM(X34:X$109)</f>
        <v>2274323.787665261</v>
      </c>
      <c r="Z34" s="116">
        <f t="shared" si="9"/>
        <v>8.2236943127279361</v>
      </c>
      <c r="AA34" s="116">
        <f>SUM(Z34:Z$109)</f>
        <v>306.50430752400968</v>
      </c>
      <c r="AB34" s="115">
        <f>SUM(AA34:AA$109)</f>
        <v>6280.7774047800494</v>
      </c>
    </row>
    <row r="35" spans="2:28">
      <c r="B35" s="123">
        <v>27</v>
      </c>
      <c r="C35" s="147">
        <f>Тбл_Dth!C35*Тбл_Dth!$D$2+Тбл_Dis!C35*Тбл_Dis!$D$2-Тбл_Dth!C35*Тбл_Dth!$D$2*Тбл_Dis!C35*Тбл_Dis!$D$2</f>
        <v>1.782888376470588E-3</v>
      </c>
      <c r="D35" s="146">
        <f>Тбл_Dth!D35*Тбл_Dth!$D$2+Тбл_Dis!D35*Тбл_Dis!$D$2-Тбл_Dth!D35*Тбл_Dth!$D$2*Тбл_Dis!D35*Тбл_Dis!$D$2</f>
        <v>7.0448544705882347E-4</v>
      </c>
      <c r="F35" s="120">
        <v>27</v>
      </c>
      <c r="G35" s="119">
        <f t="shared" si="10"/>
        <v>98965.921854148561</v>
      </c>
      <c r="H35" s="119">
        <f t="shared" si="0"/>
        <v>176.44519174045803</v>
      </c>
      <c r="I35" s="121">
        <f t="shared" si="1"/>
        <v>1.782888376470588E-3</v>
      </c>
      <c r="J35" s="117">
        <f t="shared" si="2"/>
        <v>0.99821711162352944</v>
      </c>
      <c r="K35" s="116">
        <f t="shared" si="3"/>
        <v>12389.228881102432</v>
      </c>
      <c r="L35" s="116">
        <f>SUM(K35:K$109)</f>
        <v>159166.30542994948</v>
      </c>
      <c r="M35" s="116">
        <f>SUM(L35:L$109)</f>
        <v>1982882.9075444003</v>
      </c>
      <c r="N35" s="116">
        <f t="shared" si="4"/>
        <v>20.452418671806704</v>
      </c>
      <c r="O35" s="116">
        <f>SUM(N35:N$109)</f>
        <v>570.61152852124985</v>
      </c>
      <c r="P35" s="115">
        <f>SUM(O35:O$109)</f>
        <v>10147.041001310276</v>
      </c>
      <c r="R35" s="120">
        <v>27</v>
      </c>
      <c r="S35" s="119">
        <f t="shared" si="11"/>
        <v>99543.49095593144</v>
      </c>
      <c r="T35" s="119">
        <f t="shared" si="5"/>
        <v>70.126940727885312</v>
      </c>
      <c r="U35" s="118">
        <f t="shared" si="6"/>
        <v>7.0448544705882347E-4</v>
      </c>
      <c r="V35" s="117">
        <f t="shared" si="7"/>
        <v>0.99929551455294119</v>
      </c>
      <c r="W35" s="116">
        <f t="shared" si="8"/>
        <v>12461.532919326686</v>
      </c>
      <c r="X35" s="116">
        <f>SUM(W35:W$109)</f>
        <v>163763.15192488633</v>
      </c>
      <c r="Y35" s="116">
        <f>SUM(X35:X$109)</f>
        <v>2097093.2985976422</v>
      </c>
      <c r="Z35" s="116">
        <f t="shared" si="9"/>
        <v>8.1286746201019504</v>
      </c>
      <c r="AA35" s="116">
        <f>SUM(Z35:Z$109)</f>
        <v>298.28061321128172</v>
      </c>
      <c r="AB35" s="115">
        <f>SUM(AA35:AA$109)</f>
        <v>5974.2730972560394</v>
      </c>
    </row>
    <row r="36" spans="2:28">
      <c r="B36" s="123">
        <v>28</v>
      </c>
      <c r="C36" s="147">
        <f>Тбл_Dth!C36*Тбл_Dth!$D$2+Тбл_Dis!C36*Тбл_Dis!$D$2-Тбл_Dth!C36*Тбл_Dth!$D$2*Тбл_Dis!C36*Тбл_Dis!$D$2</f>
        <v>1.911616564705882E-3</v>
      </c>
      <c r="D36" s="146">
        <f>Тбл_Dth!D36*Тбл_Dth!$D$2+Тбл_Dis!D36*Тбл_Dis!$D$2-Тбл_Dth!D36*Тбл_Dth!$D$2*Тбл_Dis!D36*Тбл_Dis!$D$2</f>
        <v>7.4822988823529412E-4</v>
      </c>
      <c r="F36" s="120">
        <v>28</v>
      </c>
      <c r="G36" s="119">
        <f t="shared" si="10"/>
        <v>98789.476662408109</v>
      </c>
      <c r="H36" s="119">
        <f t="shared" si="0"/>
        <v>188.8476000064845</v>
      </c>
      <c r="I36" s="121">
        <f t="shared" si="1"/>
        <v>1.911616564705882E-3</v>
      </c>
      <c r="J36" s="117">
        <f t="shared" si="2"/>
        <v>0.99808838343529416</v>
      </c>
      <c r="K36" s="116">
        <f t="shared" si="3"/>
        <v>11451.055804571188</v>
      </c>
      <c r="L36" s="116">
        <f>SUM(K36:K$109)</f>
        <v>146777.07654884705</v>
      </c>
      <c r="M36" s="116">
        <f>SUM(L36:L$109)</f>
        <v>1823716.6021144509</v>
      </c>
      <c r="N36" s="116">
        <f t="shared" si="4"/>
        <v>20.268544406842331</v>
      </c>
      <c r="O36" s="116">
        <f>SUM(N36:N$109)</f>
        <v>550.15910984944321</v>
      </c>
      <c r="P36" s="115">
        <f>SUM(O36:O$109)</f>
        <v>9576.4294727890247</v>
      </c>
      <c r="R36" s="120">
        <v>28</v>
      </c>
      <c r="S36" s="119">
        <f t="shared" si="11"/>
        <v>99473.364015203551</v>
      </c>
      <c r="T36" s="119">
        <f t="shared" si="5"/>
        <v>74.428944039484477</v>
      </c>
      <c r="U36" s="118">
        <f t="shared" si="6"/>
        <v>7.4822988823529412E-4</v>
      </c>
      <c r="V36" s="117">
        <f t="shared" si="7"/>
        <v>0.99925177011176469</v>
      </c>
      <c r="W36" s="116">
        <f t="shared" si="8"/>
        <v>11530.327732163867</v>
      </c>
      <c r="X36" s="116">
        <f>SUM(W36:W$109)</f>
        <v>151301.61900555968</v>
      </c>
      <c r="Y36" s="116">
        <f>SUM(X36:X$109)</f>
        <v>1933330.1466727559</v>
      </c>
      <c r="Z36" s="116">
        <f t="shared" si="9"/>
        <v>7.9882739169937773</v>
      </c>
      <c r="AA36" s="116">
        <f>SUM(Z36:Z$109)</f>
        <v>290.15193859117977</v>
      </c>
      <c r="AB36" s="115">
        <f>SUM(AA36:AA$109)</f>
        <v>5675.9924840447575</v>
      </c>
    </row>
    <row r="37" spans="2:28">
      <c r="B37" s="123">
        <v>29</v>
      </c>
      <c r="C37" s="147">
        <f>Тбл_Dth!C37*Тбл_Dth!$D$2+Тбл_Dis!C37*Тбл_Dis!$D$2-Тбл_Dth!C37*Тбл_Dth!$D$2*Тбл_Dis!C37*Тбл_Dis!$D$2</f>
        <v>2.0378451764705881E-3</v>
      </c>
      <c r="D37" s="146">
        <f>Тбл_Dth!D37*Тбл_Dth!$D$2+Тбл_Dis!D37*Тбл_Dis!$D$2-Тбл_Dth!D37*Тбл_Dth!$D$2*Тбл_Dis!D37*Тбл_Dis!$D$2</f>
        <v>7.9447401176470584E-4</v>
      </c>
      <c r="F37" s="120">
        <v>29</v>
      </c>
      <c r="G37" s="119">
        <f t="shared" si="10"/>
        <v>98600.629062401626</v>
      </c>
      <c r="H37" s="119">
        <f t="shared" si="0"/>
        <v>200.93281633178083</v>
      </c>
      <c r="I37" s="121">
        <f t="shared" si="1"/>
        <v>2.0378451764705881E-3</v>
      </c>
      <c r="J37" s="117">
        <f t="shared" si="2"/>
        <v>0.99796215482352946</v>
      </c>
      <c r="K37" s="116">
        <f t="shared" si="3"/>
        <v>10582.56090427018</v>
      </c>
      <c r="L37" s="116">
        <f>SUM(K37:K$109)</f>
        <v>135326.02074427591</v>
      </c>
      <c r="M37" s="116">
        <f>SUM(L37:L$109)</f>
        <v>1676939.525565604</v>
      </c>
      <c r="N37" s="116">
        <f t="shared" si="4"/>
        <v>19.968167308771491</v>
      </c>
      <c r="O37" s="116">
        <f>SUM(N37:N$109)</f>
        <v>529.89056544260086</v>
      </c>
      <c r="P37" s="115">
        <f>SUM(O37:O$109)</f>
        <v>9026.2703629395837</v>
      </c>
      <c r="R37" s="120">
        <v>29</v>
      </c>
      <c r="S37" s="119">
        <f t="shared" si="11"/>
        <v>99398.935071164073</v>
      </c>
      <c r="T37" s="119">
        <f t="shared" si="5"/>
        <v>78.969870711127243</v>
      </c>
      <c r="U37" s="118">
        <f t="shared" si="6"/>
        <v>7.9447401176470584E-4</v>
      </c>
      <c r="V37" s="117">
        <f t="shared" si="7"/>
        <v>0.99920552598823531</v>
      </c>
      <c r="W37" s="116">
        <f t="shared" si="8"/>
        <v>10668.241107716214</v>
      </c>
      <c r="X37" s="116">
        <f>SUM(W37:W$109)</f>
        <v>139771.29127339582</v>
      </c>
      <c r="Y37" s="116">
        <f>SUM(X37:X$109)</f>
        <v>1782028.5276671967</v>
      </c>
      <c r="Z37" s="116">
        <f t="shared" si="9"/>
        <v>7.8478151030744918</v>
      </c>
      <c r="AA37" s="116">
        <f>SUM(Z37:Z$109)</f>
        <v>282.16366467418595</v>
      </c>
      <c r="AB37" s="115">
        <f>SUM(AA37:AA$109)</f>
        <v>5385.8405454535769</v>
      </c>
    </row>
    <row r="38" spans="2:28">
      <c r="B38" s="123">
        <v>30</v>
      </c>
      <c r="C38" s="147">
        <f>Тбл_Dth!C38*Тбл_Dth!$D$2+Тбл_Dis!C38*Тбл_Dis!$D$2-Тбл_Dth!C38*Тбл_Dth!$D$2*Тбл_Dis!C38*Тбл_Dis!$D$2</f>
        <v>2.1603244235294116E-3</v>
      </c>
      <c r="D38" s="146">
        <f>Тбл_Dth!D38*Тбл_Dth!$D$2+Тбл_Dis!D38*Тбл_Dis!$D$2-Тбл_Dth!D38*Тбл_Dth!$D$2*Тбл_Dis!D38*Тбл_Dis!$D$2</f>
        <v>8.4071813529411766E-4</v>
      </c>
      <c r="F38" s="120">
        <v>30</v>
      </c>
      <c r="G38" s="119">
        <f t="shared" si="10"/>
        <v>98399.696246069841</v>
      </c>
      <c r="H38" s="119">
        <f t="shared" si="0"/>
        <v>212.57526706826002</v>
      </c>
      <c r="I38" s="121">
        <f t="shared" si="1"/>
        <v>2.1603244235294116E-3</v>
      </c>
      <c r="J38" s="117">
        <f t="shared" si="2"/>
        <v>0.99783967557647058</v>
      </c>
      <c r="K38" s="116">
        <f t="shared" si="3"/>
        <v>9778.6993366450988</v>
      </c>
      <c r="L38" s="116">
        <f>SUM(K38:K$109)</f>
        <v>124743.45984000569</v>
      </c>
      <c r="M38" s="116">
        <f>SUM(L38:L$109)</f>
        <v>1541613.5048213284</v>
      </c>
      <c r="N38" s="116">
        <f t="shared" si="4"/>
        <v>19.560336117875238</v>
      </c>
      <c r="O38" s="116">
        <f>SUM(N38:N$109)</f>
        <v>509.92239813382935</v>
      </c>
      <c r="P38" s="115">
        <f>SUM(O38:O$109)</f>
        <v>8496.3797974969821</v>
      </c>
      <c r="R38" s="120">
        <v>30</v>
      </c>
      <c r="S38" s="119">
        <f t="shared" si="11"/>
        <v>99319.965200452949</v>
      </c>
      <c r="T38" s="119">
        <f t="shared" si="5"/>
        <v>83.500095940801458</v>
      </c>
      <c r="U38" s="118">
        <f t="shared" si="6"/>
        <v>8.4071813529411766E-4</v>
      </c>
      <c r="V38" s="117">
        <f t="shared" si="7"/>
        <v>0.99915928186470593</v>
      </c>
      <c r="W38" s="116">
        <f t="shared" si="8"/>
        <v>9870.1532105600872</v>
      </c>
      <c r="X38" s="116">
        <f>SUM(W38:W$109)</f>
        <v>129103.05016567949</v>
      </c>
      <c r="Y38" s="116">
        <f>SUM(X38:X$109)</f>
        <v>1642257.2363938009</v>
      </c>
      <c r="Z38" s="116">
        <f t="shared" si="9"/>
        <v>7.6833488909715957</v>
      </c>
      <c r="AA38" s="116">
        <f>SUM(Z38:Z$109)</f>
        <v>274.31584957111147</v>
      </c>
      <c r="AB38" s="115">
        <f>SUM(AA38:AA$109)</f>
        <v>5103.6768807793915</v>
      </c>
    </row>
    <row r="39" spans="2:28">
      <c r="B39" s="123">
        <v>31</v>
      </c>
      <c r="C39" s="147">
        <f>Тбл_Dth!C39*Тбл_Dth!$D$2+Тбл_Dis!C39*Тбл_Dis!$D$2-Тбл_Dth!C39*Тбл_Dth!$D$2*Тбл_Dis!C39*Тбл_Dis!$D$2</f>
        <v>2.2927632897058823E-3</v>
      </c>
      <c r="D39" s="146">
        <f>Тбл_Dth!D39*Тбл_Dth!$D$2+Тбл_Dis!D39*Тбл_Dis!$D$2-Тбл_Dth!D39*Тбл_Dth!$D$2*Тбл_Dis!D39*Тбл_Dis!$D$2</f>
        <v>9.0217050882352942E-4</v>
      </c>
      <c r="F39" s="120">
        <v>31</v>
      </c>
      <c r="G39" s="119">
        <f t="shared" si="10"/>
        <v>98187.120979001586</v>
      </c>
      <c r="H39" s="119">
        <f t="shared" si="0"/>
        <v>225.11982650256513</v>
      </c>
      <c r="I39" s="121">
        <f t="shared" si="1"/>
        <v>2.2927632897058823E-3</v>
      </c>
      <c r="J39" s="117">
        <f t="shared" si="2"/>
        <v>0.99770723671029415</v>
      </c>
      <c r="K39" s="116">
        <f t="shared" si="3"/>
        <v>9034.7909015164751</v>
      </c>
      <c r="L39" s="116">
        <f>SUM(K39:K$109)</f>
        <v>114964.76050336058</v>
      </c>
      <c r="M39" s="116">
        <f>SUM(L39:L$109)</f>
        <v>1416870.0449813225</v>
      </c>
      <c r="N39" s="116">
        <f t="shared" si="4"/>
        <v>19.180219360338597</v>
      </c>
      <c r="O39" s="116">
        <f>SUM(N39:N$109)</f>
        <v>490.36206201595411</v>
      </c>
      <c r="P39" s="115">
        <f>SUM(O39:O$109)</f>
        <v>7986.4573993631511</v>
      </c>
      <c r="R39" s="120">
        <v>31</v>
      </c>
      <c r="S39" s="119">
        <f t="shared" si="11"/>
        <v>99236.465104512143</v>
      </c>
      <c r="T39" s="119">
        <f t="shared" si="5"/>
        <v>89.528212217186137</v>
      </c>
      <c r="U39" s="118">
        <f t="shared" si="6"/>
        <v>9.0217050882352942E-4</v>
      </c>
      <c r="V39" s="117">
        <f t="shared" si="7"/>
        <v>0.99909782949117643</v>
      </c>
      <c r="W39" s="116">
        <f t="shared" si="8"/>
        <v>9131.347401627625</v>
      </c>
      <c r="X39" s="116">
        <f>SUM(W39:W$109)</f>
        <v>119232.8969551194</v>
      </c>
      <c r="Y39" s="116">
        <f>SUM(X39:X$109)</f>
        <v>1513154.1862281216</v>
      </c>
      <c r="Z39" s="116">
        <f t="shared" si="9"/>
        <v>7.6278077144174148</v>
      </c>
      <c r="AA39" s="116">
        <f>SUM(Z39:Z$109)</f>
        <v>266.63250068013991</v>
      </c>
      <c r="AB39" s="115">
        <f>SUM(AA39:AA$109)</f>
        <v>4829.3610312082792</v>
      </c>
    </row>
    <row r="40" spans="2:28">
      <c r="B40" s="123">
        <v>32</v>
      </c>
      <c r="C40" s="147">
        <f>Тбл_Dth!C40*Тбл_Dth!$D$2+Тбл_Dis!C40*Тбл_Dis!$D$2-Тбл_Dth!C40*Тбл_Dth!$D$2*Тбл_Dis!C40*Тбл_Dis!$D$2</f>
        <v>2.4198952499999999E-3</v>
      </c>
      <c r="D40" s="146">
        <f>Тбл_Dth!D40*Тбл_Dth!$D$2+Тбл_Dis!D40*Тбл_Dis!$D$2-Тбл_Dth!D40*Тбл_Dth!$D$2*Тбл_Dis!D40*Тбл_Dis!$D$2</f>
        <v>9.6832349999999995E-4</v>
      </c>
      <c r="F40" s="120">
        <v>32</v>
      </c>
      <c r="G40" s="119">
        <f t="shared" si="10"/>
        <v>97962.001152499026</v>
      </c>
      <c r="H40" s="119">
        <f t="shared" ref="H40:H71" si="12">G40*I40</f>
        <v>237.0577812694269</v>
      </c>
      <c r="I40" s="121">
        <f t="shared" ref="I40:I71" si="13">C40*$D$2</f>
        <v>2.4198952499999999E-3</v>
      </c>
      <c r="J40" s="117">
        <f t="shared" ref="J40:J71" si="14">1-I40</f>
        <v>0.99758010475000003</v>
      </c>
      <c r="K40" s="116">
        <f t="shared" ref="K40:K71" si="15">v($C$2)^$F40*$G40</f>
        <v>8346.3669116734345</v>
      </c>
      <c r="L40" s="116">
        <f>SUM(K40:K$109)</f>
        <v>105929.96960184413</v>
      </c>
      <c r="M40" s="116">
        <f>SUM(L40:L$109)</f>
        <v>1301905.2844779617</v>
      </c>
      <c r="N40" s="116">
        <f t="shared" ref="N40:N71" si="16">v($C$2)^($F40+1)*$H40</f>
        <v>18.701234855847879</v>
      </c>
      <c r="O40" s="116">
        <f>SUM(N40:N$109)</f>
        <v>471.18184265561553</v>
      </c>
      <c r="P40" s="115">
        <f>SUM(O40:O$109)</f>
        <v>7496.0953373471966</v>
      </c>
      <c r="R40" s="120">
        <v>32</v>
      </c>
      <c r="S40" s="119">
        <f t="shared" si="11"/>
        <v>99146.936892294951</v>
      </c>
      <c r="T40" s="119">
        <f t="shared" ref="T40:T71" si="17">S40*U40</f>
        <v>96.006308945826163</v>
      </c>
      <c r="U40" s="118">
        <f t="shared" ref="U40:U71" si="18">D40*$D$2</f>
        <v>9.6832349999999995E-4</v>
      </c>
      <c r="V40" s="117">
        <f t="shared" ref="V40:V71" si="19">1-U40</f>
        <v>0.99903167650000002</v>
      </c>
      <c r="W40" s="116">
        <f t="shared" ref="W40:W71" si="20">v($C$2)^$R40*$S40</f>
        <v>8447.3234900889383</v>
      </c>
      <c r="X40" s="116">
        <f>SUM(W40:W$109)</f>
        <v>110101.54955349179</v>
      </c>
      <c r="Y40" s="116">
        <f>SUM(X40:X$109)</f>
        <v>1393921.2892730024</v>
      </c>
      <c r="Z40" s="116">
        <f t="shared" ref="Z40:Z71" si="21">v($C$2)^($R40+1)*T40</f>
        <v>7.573835044032533</v>
      </c>
      <c r="AA40" s="116">
        <f>SUM(Z40:Z$109)</f>
        <v>259.00469296572248</v>
      </c>
      <c r="AB40" s="115">
        <f>SUM(AA40:AA$109)</f>
        <v>4562.7285305281393</v>
      </c>
    </row>
    <row r="41" spans="2:28">
      <c r="B41" s="123">
        <v>33</v>
      </c>
      <c r="C41" s="147">
        <f>Тбл_Dth!C41*Тбл_Dth!$D$2+Тбл_Dis!C41*Тбл_Dis!$D$2-Тбл_Dth!C41*Тбл_Dth!$D$2*Тбл_Dis!C41*Тбл_Dis!$D$2</f>
        <v>2.5465665161764706E-3</v>
      </c>
      <c r="D41" s="146">
        <f>Тбл_Dth!D41*Тбл_Dth!$D$2+Тбл_Dis!D41*Тбл_Dis!$D$2-Тбл_Dth!D41*Тбл_Dth!$D$2*Тбл_Dis!D41*Тбл_Dis!$D$2</f>
        <v>1.0403519455882354E-3</v>
      </c>
      <c r="F41" s="120">
        <v>33</v>
      </c>
      <c r="G41" s="119">
        <f t="shared" ref="G41:G72" si="22">G40-H40</f>
        <v>97724.943371229601</v>
      </c>
      <c r="H41" s="119">
        <f t="shared" si="12"/>
        <v>248.86306858441503</v>
      </c>
      <c r="I41" s="121">
        <f t="shared" si="13"/>
        <v>2.5465665161764706E-3</v>
      </c>
      <c r="J41" s="117">
        <f t="shared" si="14"/>
        <v>0.99745343348382354</v>
      </c>
      <c r="K41" s="116">
        <f t="shared" si="15"/>
        <v>7709.4162759528881</v>
      </c>
      <c r="L41" s="116">
        <f>SUM(K41:K$109)</f>
        <v>97583.602690170679</v>
      </c>
      <c r="M41" s="116">
        <f>SUM(L41:L$109)</f>
        <v>1195975.3148761177</v>
      </c>
      <c r="N41" s="116">
        <f t="shared" si="16"/>
        <v>18.178279025562521</v>
      </c>
      <c r="O41" s="116">
        <f>SUM(N41:N$109)</f>
        <v>452.48060779976771</v>
      </c>
      <c r="P41" s="115">
        <f>SUM(O41:O$109)</f>
        <v>7024.9134946915801</v>
      </c>
      <c r="R41" s="120">
        <v>33</v>
      </c>
      <c r="S41" s="119">
        <f t="shared" ref="S41:S72" si="23">S40-T40</f>
        <v>99050.930583349123</v>
      </c>
      <c r="T41" s="119">
        <f t="shared" si="17"/>
        <v>103.04782834471251</v>
      </c>
      <c r="U41" s="118">
        <f t="shared" si="18"/>
        <v>1.0403519455882354E-3</v>
      </c>
      <c r="V41" s="117">
        <f t="shared" si="19"/>
        <v>0.99895964805441173</v>
      </c>
      <c r="W41" s="116">
        <f t="shared" si="20"/>
        <v>7814.0219891123916</v>
      </c>
      <c r="X41" s="116">
        <f>SUM(W41:W$109)</f>
        <v>101654.22606340285</v>
      </c>
      <c r="Y41" s="116">
        <f>SUM(X41:X$109)</f>
        <v>1283819.7397195105</v>
      </c>
      <c r="Z41" s="116">
        <f t="shared" si="21"/>
        <v>7.5271601659651193</v>
      </c>
      <c r="AA41" s="116">
        <f>SUM(Z41:Z$109)</f>
        <v>251.43085792168998</v>
      </c>
      <c r="AB41" s="115">
        <f>SUM(AA41:AA$109)</f>
        <v>4303.7238375624174</v>
      </c>
    </row>
    <row r="42" spans="2:28">
      <c r="B42" s="123">
        <v>34</v>
      </c>
      <c r="C42" s="147">
        <f>Тбл_Dth!C42*Тбл_Dth!$D$2+Тбл_Dis!C42*Тбл_Dis!$D$2-Тбл_Dth!C42*Тбл_Dth!$D$2*Тбл_Dis!C42*Тбл_Dis!$D$2</f>
        <v>2.6730037558823526E-3</v>
      </c>
      <c r="D42" s="146">
        <f>Тбл_Dth!D42*Тбл_Dth!$D$2+Тбл_Dis!D42*Тбл_Dis!$D$2-Тбл_Dth!D42*Тбл_Dth!$D$2*Тбл_Dis!D42*Тбл_Dis!$D$2</f>
        <v>1.1171539352941174E-3</v>
      </c>
      <c r="F42" s="120">
        <v>34</v>
      </c>
      <c r="G42" s="119">
        <f t="shared" si="22"/>
        <v>97476.08030264519</v>
      </c>
      <c r="H42" s="119">
        <f t="shared" si="12"/>
        <v>260.5539287576604</v>
      </c>
      <c r="I42" s="121">
        <f t="shared" si="13"/>
        <v>2.6730037558823526E-3</v>
      </c>
      <c r="J42" s="117">
        <f t="shared" si="14"/>
        <v>0.99732699624411769</v>
      </c>
      <c r="K42" s="116">
        <f t="shared" si="15"/>
        <v>7120.1701246345174</v>
      </c>
      <c r="L42" s="116">
        <f>SUM(K42:K$109)</f>
        <v>89874.186414217795</v>
      </c>
      <c r="M42" s="116">
        <f>SUM(L42:L$109)</f>
        <v>1098391.7121859475</v>
      </c>
      <c r="N42" s="116">
        <f t="shared" si="16"/>
        <v>17.622445820064243</v>
      </c>
      <c r="O42" s="116">
        <f>SUM(N42:N$109)</f>
        <v>434.30232877420519</v>
      </c>
      <c r="P42" s="115">
        <f>SUM(O42:O$109)</f>
        <v>6572.432886891811</v>
      </c>
      <c r="R42" s="120">
        <v>34</v>
      </c>
      <c r="S42" s="119">
        <f t="shared" si="23"/>
        <v>98947.882755004408</v>
      </c>
      <c r="T42" s="119">
        <f t="shared" si="17"/>
        <v>110.54001660877411</v>
      </c>
      <c r="U42" s="118">
        <f t="shared" si="18"/>
        <v>1.1171539352941174E-3</v>
      </c>
      <c r="V42" s="117">
        <f t="shared" si="19"/>
        <v>0.9988828460647059</v>
      </c>
      <c r="W42" s="116">
        <f t="shared" si="20"/>
        <v>7227.6783853084708</v>
      </c>
      <c r="X42" s="116">
        <f>SUM(W42:W$109)</f>
        <v>93840.204074290436</v>
      </c>
      <c r="Y42" s="116">
        <f>SUM(X42:X$109)</f>
        <v>1182165.5136561079</v>
      </c>
      <c r="Z42" s="116">
        <f t="shared" si="21"/>
        <v>7.476323473321842</v>
      </c>
      <c r="AA42" s="116">
        <f>SUM(Z42:Z$109)</f>
        <v>243.90369775572483</v>
      </c>
      <c r="AB42" s="115">
        <f>SUM(AA42:AA$109)</f>
        <v>4052.2929796407284</v>
      </c>
    </row>
    <row r="43" spans="2:28">
      <c r="B43" s="123">
        <v>35</v>
      </c>
      <c r="C43" s="147">
        <f>Тбл_Dth!C43*Тбл_Dth!$D$2+Тбл_Dis!C43*Тбл_Dis!$D$2-Тбл_Dth!C43*Тбл_Dth!$D$2*Тбл_Dis!C43*Тбл_Dis!$D$2</f>
        <v>2.8029551999999998E-3</v>
      </c>
      <c r="D43" s="146">
        <f>Тбл_Dth!D43*Тбл_Dth!$D$2+Тбл_Dis!D43*Тбл_Dis!$D$2-Тбл_Dth!D43*Тбл_Dth!$D$2*Тбл_Dis!D43*Тбл_Dis!$D$2</f>
        <v>1.1988031838235293E-3</v>
      </c>
      <c r="F43" s="120">
        <v>35</v>
      </c>
      <c r="G43" s="119">
        <f t="shared" si="22"/>
        <v>97215.526373887536</v>
      </c>
      <c r="H43" s="119">
        <f t="shared" si="12"/>
        <v>272.49076517042522</v>
      </c>
      <c r="I43" s="121">
        <f t="shared" si="13"/>
        <v>2.8029551999999998E-3</v>
      </c>
      <c r="J43" s="117">
        <f t="shared" si="14"/>
        <v>0.99719704480000004</v>
      </c>
      <c r="K43" s="116">
        <f t="shared" si="15"/>
        <v>6575.1276695822671</v>
      </c>
      <c r="L43" s="116">
        <f>SUM(K43:K$109)</f>
        <v>82754.016289583276</v>
      </c>
      <c r="M43" s="116">
        <f>SUM(L43:L$109)</f>
        <v>1008517.5257717302</v>
      </c>
      <c r="N43" s="116">
        <f t="shared" si="16"/>
        <v>17.064618788999535</v>
      </c>
      <c r="O43" s="116">
        <f>SUM(N43:N$109)</f>
        <v>416.67988295414096</v>
      </c>
      <c r="P43" s="115">
        <f>SUM(O43:O$109)</f>
        <v>6138.1305581176075</v>
      </c>
      <c r="R43" s="120">
        <v>35</v>
      </c>
      <c r="S43" s="119">
        <f t="shared" si="23"/>
        <v>98837.34273839563</v>
      </c>
      <c r="T43" s="119">
        <f t="shared" si="17"/>
        <v>118.48652115544607</v>
      </c>
      <c r="U43" s="118">
        <f t="shared" si="18"/>
        <v>1.1988031838235293E-3</v>
      </c>
      <c r="V43" s="117">
        <f t="shared" si="19"/>
        <v>0.99880119681617652</v>
      </c>
      <c r="W43" s="116">
        <f t="shared" si="20"/>
        <v>6684.8184777382239</v>
      </c>
      <c r="X43" s="116">
        <f>SUM(W43:W$109)</f>
        <v>86612.525688981987</v>
      </c>
      <c r="Y43" s="116">
        <f>SUM(X43:X$109)</f>
        <v>1088325.3095818176</v>
      </c>
      <c r="Z43" s="116">
        <f t="shared" si="21"/>
        <v>7.4201682170323533</v>
      </c>
      <c r="AA43" s="116">
        <f>SUM(Z43:Z$109)</f>
        <v>236.42737428240301</v>
      </c>
      <c r="AB43" s="115">
        <f>SUM(AA43:AA$109)</f>
        <v>3808.3892818850045</v>
      </c>
    </row>
    <row r="44" spans="2:28">
      <c r="B44" s="123">
        <v>36</v>
      </c>
      <c r="C44" s="147">
        <f>Тбл_Dth!C44*Тбл_Dth!$D$2+Тбл_Dis!C44*Тбл_Dis!$D$2-Тбл_Dth!C44*Тбл_Dth!$D$2*Тбл_Dis!C44*Тбл_Dis!$D$2</f>
        <v>2.9497082205882353E-3</v>
      </c>
      <c r="D44" s="146">
        <f>Тбл_Dth!D44*Тбл_Dth!$D$2+Тбл_Dis!D44*Тбл_Dis!$D$2-Тбл_Dth!D44*Тбл_Dth!$D$2*Тбл_Dis!D44*Тбл_Dis!$D$2</f>
        <v>1.2922765735294119E-3</v>
      </c>
      <c r="F44" s="120">
        <v>36</v>
      </c>
      <c r="G44" s="119">
        <f t="shared" si="22"/>
        <v>96943.035608717109</v>
      </c>
      <c r="H44" s="119">
        <f t="shared" si="12"/>
        <v>285.95366906381088</v>
      </c>
      <c r="I44" s="121">
        <f t="shared" si="13"/>
        <v>2.9497082205882353E-3</v>
      </c>
      <c r="J44" s="117">
        <f t="shared" si="14"/>
        <v>0.99705029177941173</v>
      </c>
      <c r="K44" s="116">
        <f t="shared" si="15"/>
        <v>6071.0165567501363</v>
      </c>
      <c r="L44" s="116">
        <f>SUM(K44:K$109)</f>
        <v>76178.888620000987</v>
      </c>
      <c r="M44" s="116">
        <f>SUM(L44:L$109)</f>
        <v>925763.50948214694</v>
      </c>
      <c r="N44" s="116">
        <f t="shared" si="16"/>
        <v>16.5812291155307</v>
      </c>
      <c r="O44" s="116">
        <f>SUM(N44:N$109)</f>
        <v>399.61526416514147</v>
      </c>
      <c r="P44" s="115">
        <f>SUM(O44:O$109)</f>
        <v>5721.4506751634672</v>
      </c>
      <c r="R44" s="120">
        <v>36</v>
      </c>
      <c r="S44" s="119">
        <f t="shared" si="23"/>
        <v>98718.856217240187</v>
      </c>
      <c r="T44" s="119">
        <f t="shared" si="17"/>
        <v>127.57206525515782</v>
      </c>
      <c r="U44" s="118">
        <f t="shared" si="18"/>
        <v>1.2922765735294119E-3</v>
      </c>
      <c r="V44" s="117">
        <f t="shared" si="19"/>
        <v>0.99870772342647063</v>
      </c>
      <c r="W44" s="116">
        <f t="shared" si="20"/>
        <v>6182.2265704294714</v>
      </c>
      <c r="X44" s="116">
        <f>SUM(W44:W$109)</f>
        <v>79927.707211243745</v>
      </c>
      <c r="Y44" s="116">
        <f>SUM(X44:X$109)</f>
        <v>1001712.783892836</v>
      </c>
      <c r="Z44" s="116">
        <f t="shared" si="21"/>
        <v>7.3973579344602616</v>
      </c>
      <c r="AA44" s="116">
        <f>SUM(Z44:Z$109)</f>
        <v>229.00720606537064</v>
      </c>
      <c r="AB44" s="115">
        <f>SUM(AA44:AA$109)</f>
        <v>3571.9619076026015</v>
      </c>
    </row>
    <row r="45" spans="2:28">
      <c r="B45" s="123">
        <v>37</v>
      </c>
      <c r="C45" s="147">
        <f>Тбл_Dth!C45*Тбл_Dth!$D$2+Тбл_Dis!C45*Тбл_Dis!$D$2-Тбл_Dth!C45*Тбл_Dth!$D$2*Тбл_Dis!C45*Тбл_Dis!$D$2</f>
        <v>3.1087178676470584E-3</v>
      </c>
      <c r="D45" s="146">
        <f>Тбл_Dth!D45*Тбл_Dth!$D$2+Тбл_Dis!D45*Тбл_Dis!$D$2-Тбл_Dth!D45*Тбл_Dth!$D$2*Тбл_Dis!D45*Тбл_Dis!$D$2</f>
        <v>1.3917704735294117E-3</v>
      </c>
      <c r="F45" s="120">
        <v>37</v>
      </c>
      <c r="G45" s="119">
        <f t="shared" si="22"/>
        <v>96657.081939653304</v>
      </c>
      <c r="H45" s="119">
        <f t="shared" si="12"/>
        <v>300.47959766042601</v>
      </c>
      <c r="I45" s="121">
        <f t="shared" si="13"/>
        <v>3.1087178676470584E-3</v>
      </c>
      <c r="J45" s="117">
        <f t="shared" si="14"/>
        <v>0.9968912821323529</v>
      </c>
      <c r="K45" s="116">
        <f t="shared" si="15"/>
        <v>5604.7303975049645</v>
      </c>
      <c r="L45" s="116">
        <f>SUM(K45:K$109)</f>
        <v>70107.872063250848</v>
      </c>
      <c r="M45" s="116">
        <f>SUM(L45:L$109)</f>
        <v>849584.62086214591</v>
      </c>
      <c r="N45" s="116">
        <f t="shared" si="16"/>
        <v>16.132894009322484</v>
      </c>
      <c r="O45" s="116">
        <f>SUM(N45:N$109)</f>
        <v>383.03403504961074</v>
      </c>
      <c r="P45" s="115">
        <f>SUM(O45:O$109)</f>
        <v>5321.8354109983247</v>
      </c>
      <c r="R45" s="120">
        <v>37</v>
      </c>
      <c r="S45" s="119">
        <f t="shared" si="23"/>
        <v>98591.284151985034</v>
      </c>
      <c r="T45" s="119">
        <f t="shared" si="17"/>
        <v>137.216438230081</v>
      </c>
      <c r="U45" s="118">
        <f t="shared" si="18"/>
        <v>1.3917704735294117E-3</v>
      </c>
      <c r="V45" s="117">
        <f t="shared" si="19"/>
        <v>0.99860822952647055</v>
      </c>
      <c r="W45" s="116">
        <f t="shared" si="20"/>
        <v>5716.8865035743083</v>
      </c>
      <c r="X45" s="116">
        <f>SUM(W45:W$109)</f>
        <v>73745.480640814261</v>
      </c>
      <c r="Y45" s="116">
        <f>SUM(X45:X$109)</f>
        <v>921785.07668159204</v>
      </c>
      <c r="Z45" s="116">
        <f t="shared" si="21"/>
        <v>7.3672165149939977</v>
      </c>
      <c r="AA45" s="116">
        <f>SUM(Z45:Z$109)</f>
        <v>221.60984813091036</v>
      </c>
      <c r="AB45" s="115">
        <f>SUM(AA45:AA$109)</f>
        <v>3342.9547015372314</v>
      </c>
    </row>
    <row r="46" spans="2:28">
      <c r="B46" s="123">
        <v>38</v>
      </c>
      <c r="C46" s="147">
        <f>Тбл_Dth!C46*Тбл_Dth!$D$2+Тбл_Dis!C46*Тбл_Dis!$D$2-Тбл_Dth!C46*Тбл_Dth!$D$2*Тбл_Dis!C46*Тбл_Dis!$D$2</f>
        <v>3.2909212985294113E-3</v>
      </c>
      <c r="D46" s="146">
        <f>Тбл_Dth!D46*Тбл_Dth!$D$2+Тбл_Dis!D46*Тбл_Dis!$D$2-Тбл_Dth!D46*Тбл_Dth!$D$2*Тбл_Dis!D46*Тбл_Dis!$D$2</f>
        <v>1.5032341735294118E-3</v>
      </c>
      <c r="F46" s="120">
        <v>38</v>
      </c>
      <c r="G46" s="119">
        <f t="shared" si="22"/>
        <v>96356.602341992882</v>
      </c>
      <c r="H46" s="119">
        <f t="shared" si="12"/>
        <v>317.10199490119334</v>
      </c>
      <c r="I46" s="121">
        <f t="shared" si="13"/>
        <v>3.2909212985294113E-3</v>
      </c>
      <c r="J46" s="117">
        <f t="shared" si="14"/>
        <v>0.99670907870147063</v>
      </c>
      <c r="K46" s="116">
        <f t="shared" si="15"/>
        <v>5173.4322888656443</v>
      </c>
      <c r="L46" s="116">
        <f>SUM(K46:K$109)</f>
        <v>64503.14166574589</v>
      </c>
      <c r="M46" s="116">
        <f>SUM(L46:L$109)</f>
        <v>779476.74879889516</v>
      </c>
      <c r="N46" s="116">
        <f t="shared" si="16"/>
        <v>15.764220838821956</v>
      </c>
      <c r="O46" s="116">
        <f>SUM(N46:N$109)</f>
        <v>366.90114104028828</v>
      </c>
      <c r="P46" s="115">
        <f>SUM(O46:O$109)</f>
        <v>4938.8013759487148</v>
      </c>
      <c r="R46" s="120">
        <v>38</v>
      </c>
      <c r="S46" s="119">
        <f t="shared" si="23"/>
        <v>98454.06771375495</v>
      </c>
      <c r="T46" s="119">
        <f t="shared" si="17"/>
        <v>147.99951911029515</v>
      </c>
      <c r="U46" s="118">
        <f t="shared" si="18"/>
        <v>1.5032341735294118E-3</v>
      </c>
      <c r="V46" s="117">
        <f t="shared" si="19"/>
        <v>0.99849676582647062</v>
      </c>
      <c r="W46" s="116">
        <f t="shared" si="20"/>
        <v>5286.0462127204764</v>
      </c>
      <c r="X46" s="116">
        <f>SUM(W46:W$109)</f>
        <v>68028.594137239983</v>
      </c>
      <c r="Y46" s="116">
        <f>SUM(X46:X$109)</f>
        <v>848039.59604077775</v>
      </c>
      <c r="Z46" s="116">
        <f t="shared" si="21"/>
        <v>7.3575604720529082</v>
      </c>
      <c r="AA46" s="116">
        <f>SUM(Z46:Z$109)</f>
        <v>214.24263161591634</v>
      </c>
      <c r="AB46" s="115">
        <f>SUM(AA46:AA$109)</f>
        <v>3121.3448534063209</v>
      </c>
    </row>
    <row r="47" spans="2:28">
      <c r="B47" s="123">
        <v>39</v>
      </c>
      <c r="C47" s="147">
        <f>Тбл_Dth!C47*Тбл_Dth!$D$2+Тбл_Dis!C47*Тбл_Dis!$D$2-Тбл_Dth!C47*Тбл_Dth!$D$2*Тбл_Dis!C47*Тбл_Dis!$D$2</f>
        <v>3.5012336926470585E-3</v>
      </c>
      <c r="D47" s="146">
        <f>Тбл_Dth!D47*Тбл_Dth!$D$2+Тбл_Dis!D47*Тбл_Dis!$D$2-Тбл_Dth!D47*Тбл_Dth!$D$2*Тбл_Dis!D47*Тбл_Dis!$D$2</f>
        <v>1.6279150808823529E-3</v>
      </c>
      <c r="F47" s="120">
        <v>39</v>
      </c>
      <c r="G47" s="119">
        <f t="shared" si="22"/>
        <v>96039.500347091685</v>
      </c>
      <c r="H47" s="119">
        <f t="shared" si="12"/>
        <v>336.2567344402263</v>
      </c>
      <c r="I47" s="121">
        <f t="shared" si="13"/>
        <v>3.5012336926470585E-3</v>
      </c>
      <c r="J47" s="117">
        <f t="shared" si="14"/>
        <v>0.9964987663073529</v>
      </c>
      <c r="K47" s="116">
        <f t="shared" si="15"/>
        <v>4774.450861444182</v>
      </c>
      <c r="L47" s="116">
        <f>SUM(K47:K$109)</f>
        <v>59329.709376880244</v>
      </c>
      <c r="M47" s="116">
        <f>SUM(L47:L$109)</f>
        <v>714973.60713314929</v>
      </c>
      <c r="N47" s="116">
        <f t="shared" si="16"/>
        <v>15.478211314792727</v>
      </c>
      <c r="O47" s="116">
        <f>SUM(N47:N$109)</f>
        <v>351.13692020146635</v>
      </c>
      <c r="P47" s="115">
        <f>SUM(O47:O$109)</f>
        <v>4571.9002349084258</v>
      </c>
      <c r="R47" s="120">
        <v>39</v>
      </c>
      <c r="S47" s="119">
        <f t="shared" si="23"/>
        <v>98306.068194644657</v>
      </c>
      <c r="T47" s="119">
        <f t="shared" si="17"/>
        <v>160.03393095631105</v>
      </c>
      <c r="U47" s="118">
        <f t="shared" si="18"/>
        <v>1.6279150808823529E-3</v>
      </c>
      <c r="V47" s="117">
        <f t="shared" si="19"/>
        <v>0.99837208491911766</v>
      </c>
      <c r="W47" s="116">
        <f t="shared" si="20"/>
        <v>4887.1296735283877</v>
      </c>
      <c r="X47" s="116">
        <f>SUM(W47:W$109)</f>
        <v>62742.547924519524</v>
      </c>
      <c r="Y47" s="116">
        <f>SUM(X47:X$109)</f>
        <v>780011.00190353766</v>
      </c>
      <c r="Z47" s="116">
        <f t="shared" si="21"/>
        <v>7.3665112016338083</v>
      </c>
      <c r="AA47" s="116">
        <f>SUM(Z47:Z$109)</f>
        <v>206.88507114386343</v>
      </c>
      <c r="AB47" s="115">
        <f>SUM(AA47:AA$109)</f>
        <v>2907.1022217904042</v>
      </c>
    </row>
    <row r="48" spans="2:28">
      <c r="B48" s="123">
        <v>40</v>
      </c>
      <c r="C48" s="147">
        <f>Тбл_Dth!C48*Тбл_Dth!$D$2+Тбл_Dis!C48*Тбл_Dis!$D$2-Тбл_Dth!C48*Тбл_Dth!$D$2*Тбл_Dis!C48*Тбл_Dis!$D$2</f>
        <v>3.7444147735294121E-3</v>
      </c>
      <c r="D48" s="146">
        <f>Тбл_Dth!D48*Тбл_Dth!$D$2+Тбл_Dis!D48*Тбл_Dis!$D$2-Тбл_Dth!D48*Тбл_Dth!$D$2*Тбл_Dis!D48*Тбл_Dis!$D$2</f>
        <v>1.772935169117647E-3</v>
      </c>
      <c r="F48" s="120">
        <v>40</v>
      </c>
      <c r="G48" s="119">
        <f t="shared" si="22"/>
        <v>95703.243612651466</v>
      </c>
      <c r="H48" s="119">
        <f t="shared" si="12"/>
        <v>358.3526392578965</v>
      </c>
      <c r="I48" s="121">
        <f t="shared" si="13"/>
        <v>3.7444147735294121E-3</v>
      </c>
      <c r="J48" s="117">
        <f t="shared" si="14"/>
        <v>0.99625558522647062</v>
      </c>
      <c r="K48" s="116">
        <f t="shared" si="15"/>
        <v>4405.3096233557471</v>
      </c>
      <c r="L48" s="116">
        <f>SUM(K48:K$109)</f>
        <v>54555.258515436064</v>
      </c>
      <c r="M48" s="116">
        <f>SUM(L48:L$109)</f>
        <v>655643.89775626897</v>
      </c>
      <c r="N48" s="116">
        <f t="shared" si="16"/>
        <v>15.273431884874579</v>
      </c>
      <c r="O48" s="116">
        <f>SUM(N48:N$109)</f>
        <v>335.65870888667359</v>
      </c>
      <c r="P48" s="115">
        <f>SUM(O48:O$109)</f>
        <v>4220.763314706961</v>
      </c>
      <c r="R48" s="120">
        <v>40</v>
      </c>
      <c r="S48" s="119">
        <f t="shared" si="23"/>
        <v>98146.034263688343</v>
      </c>
      <c r="T48" s="119">
        <f t="shared" si="17"/>
        <v>174.00655585551866</v>
      </c>
      <c r="U48" s="118">
        <f t="shared" si="18"/>
        <v>1.772935169117647E-3</v>
      </c>
      <c r="V48" s="117">
        <f t="shared" si="19"/>
        <v>0.9982270648308823</v>
      </c>
      <c r="W48" s="116">
        <f t="shared" si="20"/>
        <v>4517.7535568802068</v>
      </c>
      <c r="X48" s="116">
        <f>SUM(W48:W$109)</f>
        <v>57855.418250991141</v>
      </c>
      <c r="Y48" s="116">
        <f>SUM(X48:X$109)</f>
        <v>717268.45397901814</v>
      </c>
      <c r="Z48" s="116">
        <f t="shared" si="21"/>
        <v>7.4163742281474621</v>
      </c>
      <c r="AA48" s="116">
        <f>SUM(Z48:Z$109)</f>
        <v>199.51855994222964</v>
      </c>
      <c r="AB48" s="115">
        <f>SUM(AA48:AA$109)</f>
        <v>2700.2171506465406</v>
      </c>
    </row>
    <row r="49" spans="2:28">
      <c r="B49" s="123">
        <v>41</v>
      </c>
      <c r="C49" s="147">
        <f>Тбл_Dth!C49*Тбл_Dth!$D$2+Тбл_Dis!C49*Тбл_Dis!$D$2-Тбл_Dth!C49*Тбл_Dth!$D$2*Тбл_Dis!C49*Тбл_Dis!$D$2</f>
        <v>3.9895831205882344E-3</v>
      </c>
      <c r="D49" s="146">
        <f>Тбл_Dth!D49*Тбл_Dth!$D$2+Тбл_Dis!D49*Тбл_Dis!$D$2-Тбл_Dth!D49*Тбл_Dth!$D$2*Тбл_Dis!D49*Тбл_Dis!$D$2</f>
        <v>1.912292944117647E-3</v>
      </c>
      <c r="F49" s="120">
        <v>41</v>
      </c>
      <c r="G49" s="119">
        <f t="shared" si="22"/>
        <v>95344.890973393572</v>
      </c>
      <c r="H49" s="119">
        <f t="shared" si="12"/>
        <v>380.38636766177649</v>
      </c>
      <c r="I49" s="121">
        <f t="shared" si="13"/>
        <v>3.9895831205882344E-3</v>
      </c>
      <c r="J49" s="117">
        <f t="shared" si="14"/>
        <v>0.99601041687941172</v>
      </c>
      <c r="K49" s="116">
        <f t="shared" si="15"/>
        <v>4063.7169601111868</v>
      </c>
      <c r="L49" s="116">
        <f>SUM(K49:K$109)</f>
        <v>50149.94889208032</v>
      </c>
      <c r="M49" s="116">
        <f>SUM(L49:L$109)</f>
        <v>601088.639240833</v>
      </c>
      <c r="N49" s="116">
        <f t="shared" si="16"/>
        <v>15.011607954544186</v>
      </c>
      <c r="O49" s="116">
        <f>SUM(N49:N$109)</f>
        <v>320.38527700179901</v>
      </c>
      <c r="P49" s="115">
        <f>SUM(O49:O$109)</f>
        <v>3885.104605820286</v>
      </c>
      <c r="R49" s="120">
        <v>41</v>
      </c>
      <c r="S49" s="119">
        <f t="shared" si="23"/>
        <v>97972.027707832822</v>
      </c>
      <c r="T49" s="119">
        <f t="shared" si="17"/>
        <v>187.35121730658733</v>
      </c>
      <c r="U49" s="118">
        <f t="shared" si="18"/>
        <v>1.912292944117647E-3</v>
      </c>
      <c r="V49" s="117">
        <f t="shared" si="19"/>
        <v>0.99808770705588234</v>
      </c>
      <c r="W49" s="116">
        <f t="shared" si="20"/>
        <v>4175.6887710313031</v>
      </c>
      <c r="X49" s="116">
        <f>SUM(W49:W$109)</f>
        <v>53337.664694110928</v>
      </c>
      <c r="Y49" s="116">
        <f>SUM(X49:X$109)</f>
        <v>659413.03572802711</v>
      </c>
      <c r="Z49" s="116">
        <f t="shared" si="21"/>
        <v>7.3936483089578235</v>
      </c>
      <c r="AA49" s="116">
        <f>SUM(Z49:Z$109)</f>
        <v>192.1021857140822</v>
      </c>
      <c r="AB49" s="115">
        <f>SUM(AA49:AA$109)</f>
        <v>2500.6985907043108</v>
      </c>
    </row>
    <row r="50" spans="2:28">
      <c r="B50" s="123">
        <v>42</v>
      </c>
      <c r="C50" s="147">
        <f>Тбл_Dth!C50*Тбл_Dth!$D$2+Тбл_Dis!C50*Тбл_Dis!$D$2-Тбл_Dth!C50*Тбл_Dth!$D$2*Тбл_Dis!C50*Тбл_Dis!$D$2</f>
        <v>4.2673006132352941E-3</v>
      </c>
      <c r="D50" s="146">
        <f>Тбл_Dth!D50*Тбл_Dth!$D$2+Тбл_Dis!D50*Тбл_Dis!$D$2-Тбл_Dth!D50*Тбл_Dth!$D$2*Тбл_Dis!D50*Тбл_Dis!$D$2</f>
        <v>2.0730854808823532E-3</v>
      </c>
      <c r="F50" s="120">
        <v>42</v>
      </c>
      <c r="G50" s="119">
        <f t="shared" si="22"/>
        <v>94964.504605731796</v>
      </c>
      <c r="H50" s="119">
        <f t="shared" si="12"/>
        <v>405.24208873962522</v>
      </c>
      <c r="I50" s="121">
        <f t="shared" si="13"/>
        <v>4.2673006132352941E-3</v>
      </c>
      <c r="J50" s="117">
        <f t="shared" si="14"/>
        <v>0.99573269938676467</v>
      </c>
      <c r="K50" s="116">
        <f t="shared" si="15"/>
        <v>3747.6892810372951</v>
      </c>
      <c r="L50" s="116">
        <f>SUM(K50:K$109)</f>
        <v>46086.231931969123</v>
      </c>
      <c r="M50" s="116">
        <f>SUM(L50:L$109)</f>
        <v>550938.69034875254</v>
      </c>
      <c r="N50" s="116">
        <f t="shared" si="16"/>
        <v>14.807885895542396</v>
      </c>
      <c r="O50" s="116">
        <f>SUM(N50:N$109)</f>
        <v>305.37366904725485</v>
      </c>
      <c r="P50" s="115">
        <f>SUM(O50:O$109)</f>
        <v>3564.7193288184876</v>
      </c>
      <c r="R50" s="120">
        <v>42</v>
      </c>
      <c r="S50" s="119">
        <f t="shared" si="23"/>
        <v>97784.676490526239</v>
      </c>
      <c r="T50" s="119">
        <f t="shared" si="17"/>
        <v>202.71599308528792</v>
      </c>
      <c r="U50" s="118">
        <f t="shared" si="18"/>
        <v>2.0730854808823532E-3</v>
      </c>
      <c r="V50" s="117">
        <f t="shared" si="19"/>
        <v>0.99792691451911764</v>
      </c>
      <c r="W50" s="116">
        <f t="shared" si="20"/>
        <v>3858.9848433866928</v>
      </c>
      <c r="X50" s="116">
        <f>SUM(W50:W$109)</f>
        <v>49161.975923079626</v>
      </c>
      <c r="Y50" s="116">
        <f>SUM(X50:X$109)</f>
        <v>606075.37103391625</v>
      </c>
      <c r="Z50" s="116">
        <f t="shared" si="21"/>
        <v>7.4074124534907533</v>
      </c>
      <c r="AA50" s="116">
        <f>SUM(Z50:Z$109)</f>
        <v>184.70853740512433</v>
      </c>
      <c r="AB50" s="115">
        <f>SUM(AA50:AA$109)</f>
        <v>2308.5964049902282</v>
      </c>
    </row>
    <row r="51" spans="2:28">
      <c r="B51" s="123">
        <v>43</v>
      </c>
      <c r="C51" s="147">
        <f>Тбл_Dth!C51*Тбл_Dth!$D$2+Тбл_Dis!C51*Тбл_Dis!$D$2-Тбл_Dth!C51*Тбл_Dth!$D$2*Тбл_Dis!C51*Тбл_Dis!$D$2</f>
        <v>4.5755158588235293E-3</v>
      </c>
      <c r="D51" s="146">
        <f>Тбл_Dth!D51*Тбл_Dth!$D$2+Тбл_Dis!D51*Тбл_Dis!$D$2-Тбл_Dth!D51*Тбл_Dth!$D$2*Тбл_Dis!D51*Тбл_Dis!$D$2</f>
        <v>2.2519320000000003E-3</v>
      </c>
      <c r="F51" s="120">
        <v>43</v>
      </c>
      <c r="G51" s="119">
        <f t="shared" si="22"/>
        <v>94559.262516992167</v>
      </c>
      <c r="H51" s="119">
        <f t="shared" si="12"/>
        <v>432.65740524515496</v>
      </c>
      <c r="I51" s="121">
        <f t="shared" si="13"/>
        <v>4.5755158588235293E-3</v>
      </c>
      <c r="J51" s="117">
        <f t="shared" si="14"/>
        <v>0.99542448414117646</v>
      </c>
      <c r="K51" s="116">
        <f t="shared" si="15"/>
        <v>3455.2747817315822</v>
      </c>
      <c r="L51" s="116">
        <f>SUM(K51:K$109)</f>
        <v>42338.542650931828</v>
      </c>
      <c r="M51" s="116">
        <f>SUM(L51:L$109)</f>
        <v>504852.45841678331</v>
      </c>
      <c r="N51" s="116">
        <f t="shared" si="16"/>
        <v>14.638578296672097</v>
      </c>
      <c r="O51" s="116">
        <f>SUM(N51:N$109)</f>
        <v>290.56578315171248</v>
      </c>
      <c r="P51" s="115">
        <f>SUM(O51:O$109)</f>
        <v>3259.3456597712325</v>
      </c>
      <c r="R51" s="120">
        <v>43</v>
      </c>
      <c r="S51" s="119">
        <f t="shared" si="23"/>
        <v>97581.960497440945</v>
      </c>
      <c r="T51" s="119">
        <f t="shared" si="17"/>
        <v>219.74793946692321</v>
      </c>
      <c r="U51" s="118">
        <f t="shared" si="18"/>
        <v>2.2519320000000003E-3</v>
      </c>
      <c r="V51" s="117">
        <f t="shared" si="19"/>
        <v>0.99774806800000004</v>
      </c>
      <c r="W51" s="116">
        <f t="shared" si="20"/>
        <v>3565.7267017934464</v>
      </c>
      <c r="X51" s="116">
        <f>SUM(W51:W$109)</f>
        <v>45302.991079692925</v>
      </c>
      <c r="Y51" s="116">
        <f>SUM(X51:X$109)</f>
        <v>556913.39511083683</v>
      </c>
      <c r="Z51" s="116">
        <f t="shared" si="21"/>
        <v>7.4349759842806682</v>
      </c>
      <c r="AA51" s="116">
        <f>SUM(Z51:Z$109)</f>
        <v>177.3011249516336</v>
      </c>
      <c r="AB51" s="115">
        <f>SUM(AA51:AA$109)</f>
        <v>2123.8878675851042</v>
      </c>
    </row>
    <row r="52" spans="2:28">
      <c r="B52" s="123">
        <v>44</v>
      </c>
      <c r="C52" s="147">
        <f>Тбл_Dth!C52*Тбл_Dth!$D$2+Тбл_Dis!C52*Тбл_Dis!$D$2-Тбл_Dth!C52*Тбл_Dth!$D$2*Тбл_Dis!C52*Тбл_Dis!$D$2</f>
        <v>4.9178855720588234E-3</v>
      </c>
      <c r="D52" s="146">
        <f>Тбл_Dth!D52*Тбл_Dth!$D$2+Тбл_Dis!D52*Тбл_Dis!$D$2-Тбл_Dth!D52*Тбл_Dth!$D$2*Тбл_Dis!D52*Тбл_Dis!$D$2</f>
        <v>2.4536747352941176E-3</v>
      </c>
      <c r="F52" s="120">
        <v>44</v>
      </c>
      <c r="G52" s="119">
        <f t="shared" si="22"/>
        <v>94126.605111747005</v>
      </c>
      <c r="H52" s="119">
        <f t="shared" si="12"/>
        <v>462.90387322593887</v>
      </c>
      <c r="I52" s="121">
        <f t="shared" si="13"/>
        <v>4.9178855720588234E-3</v>
      </c>
      <c r="J52" s="117">
        <f t="shared" si="14"/>
        <v>0.99508211442794114</v>
      </c>
      <c r="K52" s="116">
        <f t="shared" si="15"/>
        <v>3184.6899233066451</v>
      </c>
      <c r="L52" s="116">
        <f>SUM(K52:K$109)</f>
        <v>38883.267869200237</v>
      </c>
      <c r="M52" s="116">
        <f>SUM(L52:L$109)</f>
        <v>462513.9157658515</v>
      </c>
      <c r="N52" s="116">
        <f t="shared" si="16"/>
        <v>14.501796875287836</v>
      </c>
      <c r="O52" s="116">
        <f>SUM(N52:N$109)</f>
        <v>275.92720485504032</v>
      </c>
      <c r="P52" s="115">
        <f>SUM(O52:O$109)</f>
        <v>2968.7798766195197</v>
      </c>
      <c r="R52" s="120">
        <v>44</v>
      </c>
      <c r="S52" s="119">
        <f t="shared" si="23"/>
        <v>97362.212557974024</v>
      </c>
      <c r="T52" s="119">
        <f t="shared" si="17"/>
        <v>238.89520112583654</v>
      </c>
      <c r="U52" s="118">
        <f t="shared" si="18"/>
        <v>2.4536747352941176E-3</v>
      </c>
      <c r="V52" s="117">
        <f t="shared" si="19"/>
        <v>0.99754632526470588</v>
      </c>
      <c r="W52" s="116">
        <f t="shared" si="20"/>
        <v>3294.1638219726146</v>
      </c>
      <c r="X52" s="116">
        <f>SUM(W52:W$109)</f>
        <v>41737.264377899475</v>
      </c>
      <c r="Y52" s="116">
        <f>SUM(X52:X$109)</f>
        <v>511610.40403114405</v>
      </c>
      <c r="Z52" s="116">
        <f t="shared" si="21"/>
        <v>7.4840801332352873</v>
      </c>
      <c r="AA52" s="116">
        <f>SUM(Z52:Z$109)</f>
        <v>169.86614896735293</v>
      </c>
      <c r="AB52" s="115">
        <f>SUM(AA52:AA$109)</f>
        <v>1946.5867426334707</v>
      </c>
    </row>
    <row r="53" spans="2:28">
      <c r="B53" s="123">
        <v>45</v>
      </c>
      <c r="C53" s="147">
        <f>Тбл_Dth!C53*Тбл_Dth!$D$2+Тбл_Dis!C53*Тбл_Dis!$D$2-Тбл_Dth!C53*Тбл_Dth!$D$2*Тбл_Dis!C53*Тбл_Dis!$D$2</f>
        <v>5.2921279220588232E-3</v>
      </c>
      <c r="D53" s="146">
        <f>Тбл_Dth!D53*Тбл_Dth!$D$2+Тбл_Dis!D53*Тбл_Dis!$D$2-Тбл_Dth!D53*Тбл_Dth!$D$2*Тбл_Dis!D53*Тбл_Dis!$D$2</f>
        <v>2.6759577647058825E-3</v>
      </c>
      <c r="F53" s="120">
        <v>45</v>
      </c>
      <c r="G53" s="119">
        <f t="shared" si="22"/>
        <v>93663.701238521069</v>
      </c>
      <c r="H53" s="119">
        <f t="shared" si="12"/>
        <v>495.68028860775291</v>
      </c>
      <c r="I53" s="121">
        <f t="shared" si="13"/>
        <v>5.2921279220588232E-3</v>
      </c>
      <c r="J53" s="117">
        <f t="shared" si="14"/>
        <v>0.9947078720779412</v>
      </c>
      <c r="K53" s="116">
        <f t="shared" si="15"/>
        <v>2934.285169149382</v>
      </c>
      <c r="L53" s="116">
        <f>SUM(K53:K$109)</f>
        <v>35698.577945893616</v>
      </c>
      <c r="M53" s="116">
        <f>SUM(L53:L$109)</f>
        <v>423630.64789665124</v>
      </c>
      <c r="N53" s="116">
        <f t="shared" si="16"/>
        <v>14.378344884202354</v>
      </c>
      <c r="O53" s="116">
        <f>SUM(N53:N$109)</f>
        <v>261.42540797975249</v>
      </c>
      <c r="P53" s="115">
        <f>SUM(O53:O$109)</f>
        <v>2692.8526717644795</v>
      </c>
      <c r="R53" s="120">
        <v>45</v>
      </c>
      <c r="S53" s="119">
        <f t="shared" si="23"/>
        <v>97123.317356848187</v>
      </c>
      <c r="T53" s="119">
        <f t="shared" si="17"/>
        <v>259.89789521505151</v>
      </c>
      <c r="U53" s="118">
        <f t="shared" si="18"/>
        <v>2.6759577647058825E-3</v>
      </c>
      <c r="V53" s="117">
        <f t="shared" si="19"/>
        <v>0.99732404223529414</v>
      </c>
      <c r="W53" s="116">
        <f t="shared" si="20"/>
        <v>3042.6676068784436</v>
      </c>
      <c r="X53" s="116">
        <f>SUM(W53:W$109)</f>
        <v>38443.100555926874</v>
      </c>
      <c r="Y53" s="116">
        <f>SUM(X53:X$109)</f>
        <v>469873.13965324458</v>
      </c>
      <c r="Z53" s="116">
        <f t="shared" si="21"/>
        <v>7.5389351926346642</v>
      </c>
      <c r="AA53" s="116">
        <f>SUM(Z53:Z$109)</f>
        <v>162.38206883411763</v>
      </c>
      <c r="AB53" s="115">
        <f>SUM(AA53:AA$109)</f>
        <v>1776.720593666118</v>
      </c>
    </row>
    <row r="54" spans="2:28">
      <c r="B54" s="123">
        <v>46</v>
      </c>
      <c r="C54" s="147">
        <f>Тбл_Dth!C54*Тбл_Dth!$D$2+Тбл_Dis!C54*Тбл_Dis!$D$2-Тбл_Dth!C54*Тбл_Dth!$D$2*Тбл_Dis!C54*Тбл_Dis!$D$2</f>
        <v>5.6908918588235297E-3</v>
      </c>
      <c r="D54" s="146">
        <f>Тбл_Dth!D54*Тбл_Dth!$D$2+Тбл_Dis!D54*Тбл_Dis!$D$2-Тбл_Dth!D54*Тбл_Dth!$D$2*Тбл_Dis!D54*Тбл_Dis!$D$2</f>
        <v>2.9140766926470589E-3</v>
      </c>
      <c r="F54" s="120">
        <v>46</v>
      </c>
      <c r="G54" s="119">
        <f t="shared" si="22"/>
        <v>93168.02094991332</v>
      </c>
      <c r="H54" s="119">
        <f t="shared" si="12"/>
        <v>530.20913192656178</v>
      </c>
      <c r="I54" s="121">
        <f t="shared" si="13"/>
        <v>5.6908918588235297E-3</v>
      </c>
      <c r="J54" s="117">
        <f t="shared" si="14"/>
        <v>0.99430910814117646</v>
      </c>
      <c r="K54" s="116">
        <f t="shared" si="15"/>
        <v>2702.5523672911518</v>
      </c>
      <c r="L54" s="116">
        <f>SUM(K54:K$109)</f>
        <v>32764.292776744234</v>
      </c>
      <c r="M54" s="116">
        <f>SUM(L54:L$109)</f>
        <v>387932.06995075761</v>
      </c>
      <c r="N54" s="116">
        <f t="shared" si="16"/>
        <v>14.240678949130992</v>
      </c>
      <c r="O54" s="116">
        <f>SUM(N54:N$109)</f>
        <v>247.04706309555013</v>
      </c>
      <c r="P54" s="115">
        <f>SUM(O54:O$109)</f>
        <v>2431.4272637847275</v>
      </c>
      <c r="R54" s="120">
        <v>46</v>
      </c>
      <c r="S54" s="119">
        <f t="shared" si="23"/>
        <v>96863.419461633137</v>
      </c>
      <c r="T54" s="119">
        <f t="shared" si="17"/>
        <v>282.26743302324064</v>
      </c>
      <c r="U54" s="118">
        <f t="shared" si="18"/>
        <v>2.9140766926470589E-3</v>
      </c>
      <c r="V54" s="117">
        <f t="shared" si="19"/>
        <v>0.99708592330735291</v>
      </c>
      <c r="W54" s="116">
        <f t="shared" si="20"/>
        <v>2809.7458859911094</v>
      </c>
      <c r="X54" s="116">
        <f>SUM(W54:W$109)</f>
        <v>35400.432949048431</v>
      </c>
      <c r="Y54" s="116">
        <f>SUM(X54:X$109)</f>
        <v>431430.03909731767</v>
      </c>
      <c r="Z54" s="116">
        <f t="shared" si="21"/>
        <v>7.5813101839144919</v>
      </c>
      <c r="AA54" s="116">
        <f>SUM(Z54:Z$109)</f>
        <v>154.84313364148301</v>
      </c>
      <c r="AB54" s="115">
        <f>SUM(AA54:AA$109)</f>
        <v>1614.3385248320001</v>
      </c>
    </row>
    <row r="55" spans="2:28">
      <c r="B55" s="123">
        <v>47</v>
      </c>
      <c r="C55" s="147">
        <f>Тбл_Dth!C55*Тбл_Dth!$D$2+Тбл_Dis!C55*Тбл_Dis!$D$2-Тбл_Dth!C55*Тбл_Dth!$D$2*Тбл_Dis!C55*Тбл_Dis!$D$2</f>
        <v>6.1154137352941174E-3</v>
      </c>
      <c r="D55" s="146">
        <f>Тбл_Dth!D55*Тбл_Dth!$D$2+Тбл_Dis!D55*Тбл_Dis!$D$2-Тбл_Dth!D55*Тбл_Dth!$D$2*Тбл_Dis!D55*Тбл_Dis!$D$2</f>
        <v>3.1727968897058822E-3</v>
      </c>
      <c r="F55" s="120">
        <v>47</v>
      </c>
      <c r="G55" s="119">
        <f t="shared" si="22"/>
        <v>92637.81181798676</v>
      </c>
      <c r="H55" s="119">
        <f t="shared" si="12"/>
        <v>566.51854679930796</v>
      </c>
      <c r="I55" s="121">
        <f t="shared" si="13"/>
        <v>6.1154137352941174E-3</v>
      </c>
      <c r="J55" s="117">
        <f t="shared" si="14"/>
        <v>0.99388458626470588</v>
      </c>
      <c r="K55" s="116">
        <f t="shared" si="15"/>
        <v>2488.1226240982314</v>
      </c>
      <c r="L55" s="116">
        <f>SUM(K55:K$109)</f>
        <v>30061.740409453083</v>
      </c>
      <c r="M55" s="116">
        <f>SUM(L55:L$109)</f>
        <v>355167.77717401338</v>
      </c>
      <c r="N55" s="116">
        <f t="shared" si="16"/>
        <v>14.08879562083923</v>
      </c>
      <c r="O55" s="116">
        <f>SUM(N55:N$109)</f>
        <v>232.80638414641913</v>
      </c>
      <c r="P55" s="115">
        <f>SUM(O55:O$109)</f>
        <v>2184.3802006891779</v>
      </c>
      <c r="R55" s="120">
        <v>47</v>
      </c>
      <c r="S55" s="119">
        <f t="shared" si="23"/>
        <v>96581.152028609897</v>
      </c>
      <c r="T55" s="119">
        <f t="shared" si="17"/>
        <v>306.43237876058441</v>
      </c>
      <c r="U55" s="118">
        <f t="shared" si="18"/>
        <v>3.1727968897058822E-3</v>
      </c>
      <c r="V55" s="117">
        <f t="shared" si="19"/>
        <v>0.99682720311029416</v>
      </c>
      <c r="W55" s="116">
        <f t="shared" si="20"/>
        <v>2594.0352509189643</v>
      </c>
      <c r="X55" s="116">
        <f>SUM(W55:W$109)</f>
        <v>32590.687063057314</v>
      </c>
      <c r="Y55" s="116">
        <f>SUM(X55:X$109)</f>
        <v>396029.6061482692</v>
      </c>
      <c r="Z55" s="116">
        <f t="shared" si="21"/>
        <v>7.6206916443547295</v>
      </c>
      <c r="AA55" s="116">
        <f>SUM(Z55:Z$109)</f>
        <v>147.26182345756851</v>
      </c>
      <c r="AB55" s="115">
        <f>SUM(AA55:AA$109)</f>
        <v>1459.4953911905172</v>
      </c>
    </row>
    <row r="56" spans="2:28">
      <c r="B56" s="123">
        <v>48</v>
      </c>
      <c r="C56" s="147">
        <f>Тбл_Dth!C56*Тбл_Dth!$D$2+Тбл_Dis!C56*Тбл_Dis!$D$2-Тбл_Dth!C56*Тбл_Dth!$D$2*Тбл_Dis!C56*Тбл_Dis!$D$2</f>
        <v>6.5719984941176469E-3</v>
      </c>
      <c r="D56" s="146">
        <f>Тбл_Dth!D56*Тбл_Dth!$D$2+Тбл_Dis!D56*Тбл_Dis!$D$2-Тбл_Dth!D56*Тбл_Dth!$D$2*Тбл_Dis!D56*Тбл_Dis!$D$2</f>
        <v>3.4522586029411763E-3</v>
      </c>
      <c r="F56" s="120">
        <v>48</v>
      </c>
      <c r="G56" s="119">
        <f t="shared" si="22"/>
        <v>92071.293271187445</v>
      </c>
      <c r="H56" s="119">
        <f t="shared" si="12"/>
        <v>605.09240072970817</v>
      </c>
      <c r="I56" s="121">
        <f t="shared" si="13"/>
        <v>6.5719984941176469E-3</v>
      </c>
      <c r="J56" s="117">
        <f t="shared" si="14"/>
        <v>0.9934280015058824</v>
      </c>
      <c r="K56" s="116">
        <f t="shared" si="15"/>
        <v>2289.7284489145604</v>
      </c>
      <c r="L56" s="116">
        <f>SUM(K56:K$109)</f>
        <v>27573.617785354854</v>
      </c>
      <c r="M56" s="116">
        <f>SUM(L56:L$109)</f>
        <v>325106.03676456033</v>
      </c>
      <c r="N56" s="116">
        <f t="shared" si="16"/>
        <v>13.933418442782243</v>
      </c>
      <c r="O56" s="116">
        <f>SUM(N56:N$109)</f>
        <v>218.71758852557997</v>
      </c>
      <c r="P56" s="115">
        <f>SUM(O56:O$109)</f>
        <v>1951.5738165427583</v>
      </c>
      <c r="R56" s="120">
        <v>48</v>
      </c>
      <c r="S56" s="119">
        <f t="shared" si="23"/>
        <v>96274.719649849314</v>
      </c>
      <c r="T56" s="119">
        <f t="shared" si="17"/>
        <v>332.36522915694223</v>
      </c>
      <c r="U56" s="118">
        <f t="shared" si="18"/>
        <v>3.4522586029411763E-3</v>
      </c>
      <c r="V56" s="117">
        <f t="shared" si="19"/>
        <v>0.99654774139705882</v>
      </c>
      <c r="W56" s="116">
        <f t="shared" si="20"/>
        <v>2394.263799947279</v>
      </c>
      <c r="X56" s="116">
        <f>SUM(W56:W$109)</f>
        <v>29996.651812138345</v>
      </c>
      <c r="Y56" s="116">
        <f>SUM(X56:X$109)</f>
        <v>363438.91908521188</v>
      </c>
      <c r="Z56" s="116">
        <f t="shared" si="21"/>
        <v>7.6533498158135407</v>
      </c>
      <c r="AA56" s="116">
        <f>SUM(Z56:Z$109)</f>
        <v>139.6411318132138</v>
      </c>
      <c r="AB56" s="115">
        <f>SUM(AA56:AA$109)</f>
        <v>1312.2335677329484</v>
      </c>
    </row>
    <row r="57" spans="2:28">
      <c r="B57" s="123">
        <v>49</v>
      </c>
      <c r="C57" s="147">
        <f>Тбл_Dth!C57*Тбл_Dth!$D$2+Тбл_Dis!C57*Тбл_Dis!$D$2-Тбл_Dth!C57*Тбл_Dth!$D$2*Тбл_Dis!C57*Тбл_Dis!$D$2</f>
        <v>7.0713169485294115E-3</v>
      </c>
      <c r="D57" s="146">
        <f>Тбл_Dth!D57*Тбл_Dth!$D$2+Тбл_Dis!D57*Тбл_Dis!$D$2-Тбл_Dth!D57*Тбл_Dth!$D$2*Тбл_Dis!D57*Тбл_Dis!$D$2</f>
        <v>3.7644144264705878E-3</v>
      </c>
      <c r="F57" s="120">
        <v>49</v>
      </c>
      <c r="G57" s="119">
        <f t="shared" si="22"/>
        <v>91466.200870457731</v>
      </c>
      <c r="H57" s="119">
        <f t="shared" si="12"/>
        <v>646.78649643286337</v>
      </c>
      <c r="I57" s="121">
        <f t="shared" si="13"/>
        <v>7.0713169485294115E-3</v>
      </c>
      <c r="J57" s="117">
        <f t="shared" si="14"/>
        <v>0.99292868305147064</v>
      </c>
      <c r="K57" s="116">
        <f t="shared" si="15"/>
        <v>2106.1855157373652</v>
      </c>
      <c r="L57" s="116">
        <f>SUM(K57:K$109)</f>
        <v>25283.889336440294</v>
      </c>
      <c r="M57" s="116">
        <f>SUM(L57:L$109)</f>
        <v>297532.41897920548</v>
      </c>
      <c r="N57" s="116">
        <f t="shared" si="16"/>
        <v>13.790282716834065</v>
      </c>
      <c r="O57" s="116">
        <f>SUM(N57:N$109)</f>
        <v>204.78417008279769</v>
      </c>
      <c r="P57" s="115">
        <f>SUM(O57:O$109)</f>
        <v>1732.8562280171784</v>
      </c>
      <c r="R57" s="120">
        <v>49</v>
      </c>
      <c r="S57" s="119">
        <f t="shared" si="23"/>
        <v>95942.354420692369</v>
      </c>
      <c r="T57" s="119">
        <f t="shared" si="17"/>
        <v>361.16678309080851</v>
      </c>
      <c r="U57" s="118">
        <f t="shared" si="18"/>
        <v>3.7644144264705878E-3</v>
      </c>
      <c r="V57" s="117">
        <f t="shared" si="19"/>
        <v>0.99623558557352943</v>
      </c>
      <c r="W57" s="116">
        <f t="shared" si="20"/>
        <v>2209.2575760612958</v>
      </c>
      <c r="X57" s="116">
        <f>SUM(W57:W$109)</f>
        <v>27602.388012191066</v>
      </c>
      <c r="Y57" s="116">
        <f>SUM(X57:X$109)</f>
        <v>333442.26727307349</v>
      </c>
      <c r="Z57" s="116">
        <f t="shared" si="21"/>
        <v>7.7005195288097994</v>
      </c>
      <c r="AA57" s="116">
        <f>SUM(Z57:Z$109)</f>
        <v>131.98778199740025</v>
      </c>
      <c r="AB57" s="115">
        <f>SUM(AA57:AA$109)</f>
        <v>1172.5924359197347</v>
      </c>
    </row>
    <row r="58" spans="2:28">
      <c r="B58" s="123">
        <v>50</v>
      </c>
      <c r="C58" s="147">
        <f>Тбл_Dth!C58*Тбл_Dth!$D$2+Тбл_Dis!C58*Тбл_Dis!$D$2-Тбл_Dth!C58*Тбл_Dth!$D$2*Тбл_Dis!C58*Тбл_Dis!$D$2</f>
        <v>7.7046535617647065E-3</v>
      </c>
      <c r="D58" s="146">
        <f>Тбл_Dth!D58*Тбл_Dth!$D$2+Тбл_Dis!D58*Тбл_Dis!$D$2-Тбл_Dth!D58*Тбл_Dth!$D$2*Тбл_Dis!D58*Тбл_Dis!$D$2</f>
        <v>4.1950020294117653E-3</v>
      </c>
      <c r="F58" s="120">
        <v>50</v>
      </c>
      <c r="G58" s="119">
        <f t="shared" si="22"/>
        <v>90819.414374024869</v>
      </c>
      <c r="H58" s="119">
        <f t="shared" si="12"/>
        <v>699.73212443421551</v>
      </c>
      <c r="I58" s="121">
        <f t="shared" si="13"/>
        <v>7.7046535617647065E-3</v>
      </c>
      <c r="J58" s="117">
        <f t="shared" si="14"/>
        <v>0.99229534643823525</v>
      </c>
      <c r="K58" s="116">
        <f t="shared" si="15"/>
        <v>1936.3814911140596</v>
      </c>
      <c r="L58" s="116">
        <f>SUM(K58:K$109)</f>
        <v>23177.703820702929</v>
      </c>
      <c r="M58" s="116">
        <f>SUM(L58:L$109)</f>
        <v>272248.52964276518</v>
      </c>
      <c r="N58" s="116">
        <f t="shared" si="16"/>
        <v>13.814026437451107</v>
      </c>
      <c r="O58" s="116">
        <f>SUM(N58:N$109)</f>
        <v>190.99388736596359</v>
      </c>
      <c r="P58" s="115">
        <f>SUM(O58:O$109)</f>
        <v>1528.0720579343808</v>
      </c>
      <c r="R58" s="120">
        <v>50</v>
      </c>
      <c r="S58" s="119">
        <f t="shared" si="23"/>
        <v>95581.187637601557</v>
      </c>
      <c r="T58" s="119">
        <f t="shared" si="17"/>
        <v>400.96327611332526</v>
      </c>
      <c r="U58" s="118">
        <f t="shared" si="18"/>
        <v>4.1950020294117653E-3</v>
      </c>
      <c r="V58" s="117">
        <f t="shared" si="19"/>
        <v>0.99580499797058819</v>
      </c>
      <c r="W58" s="116">
        <f t="shared" si="20"/>
        <v>2037.9083471946121</v>
      </c>
      <c r="X58" s="116">
        <f>SUM(W58:W$109)</f>
        <v>25393.13043612977</v>
      </c>
      <c r="Y58" s="116">
        <f>SUM(X58:X$109)</f>
        <v>305839.87926088244</v>
      </c>
      <c r="Z58" s="116">
        <f t="shared" si="21"/>
        <v>7.915768196515347</v>
      </c>
      <c r="AA58" s="116">
        <f>SUM(Z58:Z$109)</f>
        <v>124.28726246859043</v>
      </c>
      <c r="AB58" s="115">
        <f>SUM(AA58:AA$109)</f>
        <v>1040.6046539223344</v>
      </c>
    </row>
    <row r="59" spans="2:28">
      <c r="B59" s="123">
        <v>51</v>
      </c>
      <c r="C59" s="147">
        <f>Тбл_Dth!C59*Тбл_Dth!$D$2+Тбл_Dis!C59*Тбл_Dis!$D$2-Тбл_Dth!C59*Тбл_Dth!$D$2*Тбл_Dis!C59*Тбл_Dis!$D$2</f>
        <v>8.2827687632352921E-3</v>
      </c>
      <c r="D59" s="146">
        <f>Тбл_Dth!D59*Тбл_Dth!$D$2+Тбл_Dis!D59*Тбл_Dis!$D$2-Тбл_Dth!D59*Тбл_Dth!$D$2*Тбл_Dis!D59*Тбл_Dis!$D$2</f>
        <v>4.5758542352941165E-3</v>
      </c>
      <c r="F59" s="120">
        <v>51</v>
      </c>
      <c r="G59" s="119">
        <f t="shared" si="22"/>
        <v>90119.682249590653</v>
      </c>
      <c r="H59" s="119">
        <f t="shared" si="12"/>
        <v>746.44048908959951</v>
      </c>
      <c r="I59" s="121">
        <f t="shared" si="13"/>
        <v>8.2827687632352921E-3</v>
      </c>
      <c r="J59" s="117">
        <f t="shared" si="14"/>
        <v>0.9917172312367647</v>
      </c>
      <c r="K59" s="116">
        <f t="shared" si="15"/>
        <v>1779.1317986681597</v>
      </c>
      <c r="L59" s="116">
        <f>SUM(K59:K$109)</f>
        <v>21241.322329588864</v>
      </c>
      <c r="M59" s="116">
        <f>SUM(L59:L$109)</f>
        <v>249070.82582206218</v>
      </c>
      <c r="N59" s="116">
        <f t="shared" si="16"/>
        <v>13.644571562673384</v>
      </c>
      <c r="O59" s="116">
        <f>SUM(N59:N$109)</f>
        <v>177.17986092851254</v>
      </c>
      <c r="P59" s="115">
        <f>SUM(O59:O$109)</f>
        <v>1337.0781705684174</v>
      </c>
      <c r="R59" s="120">
        <v>51</v>
      </c>
      <c r="S59" s="119">
        <f t="shared" si="23"/>
        <v>95180.224361488232</v>
      </c>
      <c r="T59" s="119">
        <f t="shared" si="17"/>
        <v>435.53083276076018</v>
      </c>
      <c r="U59" s="118">
        <f t="shared" si="18"/>
        <v>4.5758542352941165E-3</v>
      </c>
      <c r="V59" s="117">
        <f t="shared" si="19"/>
        <v>0.99542414576470584</v>
      </c>
      <c r="W59" s="116">
        <f t="shared" si="20"/>
        <v>1879.0364051318295</v>
      </c>
      <c r="X59" s="116">
        <f>SUM(W59:W$109)</f>
        <v>23355.222088935156</v>
      </c>
      <c r="Y59" s="116">
        <f>SUM(X59:X$109)</f>
        <v>280446.74882475258</v>
      </c>
      <c r="Z59" s="116">
        <f t="shared" si="21"/>
        <v>7.9612932339762157</v>
      </c>
      <c r="AA59" s="116">
        <f>SUM(Z59:Z$109)</f>
        <v>116.37149427207508</v>
      </c>
      <c r="AB59" s="115">
        <f>SUM(AA59:AA$109)</f>
        <v>916.31739145374399</v>
      </c>
    </row>
    <row r="60" spans="2:28">
      <c r="B60" s="123">
        <v>52</v>
      </c>
      <c r="C60" s="147">
        <f>Тбл_Dth!C60*Тбл_Dth!$D$2+Тбл_Dis!C60*Тбл_Dis!$D$2-Тбл_Dth!C60*Тбл_Dth!$D$2*Тбл_Dis!C60*Тбл_Dis!$D$2</f>
        <v>8.8923027500000008E-3</v>
      </c>
      <c r="D60" s="146">
        <f>Тбл_Dth!D60*Тбл_Dth!$D$2+Тбл_Dis!D60*Тбл_Dis!$D$2-Тбл_Dth!D60*Тбл_Dth!$D$2*Тбл_Dis!D60*Тбл_Dis!$D$2</f>
        <v>4.9856790235294117E-3</v>
      </c>
      <c r="F60" s="120">
        <v>52</v>
      </c>
      <c r="G60" s="119">
        <f t="shared" si="22"/>
        <v>89373.241760501056</v>
      </c>
      <c r="H60" s="119">
        <f t="shared" si="12"/>
        <v>794.73392348331845</v>
      </c>
      <c r="I60" s="121">
        <f t="shared" si="13"/>
        <v>8.8923027500000008E-3</v>
      </c>
      <c r="J60" s="117">
        <f t="shared" si="14"/>
        <v>0.99110769725000003</v>
      </c>
      <c r="K60" s="116">
        <f t="shared" si="15"/>
        <v>1633.6996864634004</v>
      </c>
      <c r="L60" s="116">
        <f>SUM(K60:K$109)</f>
        <v>19462.190530920703</v>
      </c>
      <c r="M60" s="116">
        <f>SUM(L60:L$109)</f>
        <v>227829.50349247336</v>
      </c>
      <c r="N60" s="116">
        <f t="shared" si="16"/>
        <v>13.451252050567252</v>
      </c>
      <c r="O60" s="116">
        <f>SUM(N60:N$109)</f>
        <v>163.53528936583911</v>
      </c>
      <c r="P60" s="115">
        <f>SUM(O60:O$109)</f>
        <v>1159.8983096399047</v>
      </c>
      <c r="R60" s="120">
        <v>52</v>
      </c>
      <c r="S60" s="119">
        <f t="shared" si="23"/>
        <v>94744.693528727468</v>
      </c>
      <c r="T60" s="119">
        <f t="shared" si="17"/>
        <v>472.36663111689933</v>
      </c>
      <c r="U60" s="118">
        <f t="shared" si="18"/>
        <v>4.9856790235294117E-3</v>
      </c>
      <c r="V60" s="117">
        <f t="shared" si="19"/>
        <v>0.99501432097647058</v>
      </c>
      <c r="W60" s="116">
        <f t="shared" si="20"/>
        <v>1731.8872300362361</v>
      </c>
      <c r="X60" s="116">
        <f>SUM(W60:W$109)</f>
        <v>21476.185683803324</v>
      </c>
      <c r="Y60" s="116">
        <f>SUM(X60:X$109)</f>
        <v>257091.5267358174</v>
      </c>
      <c r="Z60" s="116">
        <f t="shared" si="21"/>
        <v>7.9950313276945533</v>
      </c>
      <c r="AA60" s="116">
        <f>SUM(Z60:Z$109)</f>
        <v>108.41020103809886</v>
      </c>
      <c r="AB60" s="115">
        <f>SUM(AA60:AA$109)</f>
        <v>799.9458971816689</v>
      </c>
    </row>
    <row r="61" spans="2:28">
      <c r="B61" s="123">
        <v>53</v>
      </c>
      <c r="C61" s="147">
        <f>Тбл_Dth!C61*Тбл_Dth!$D$2+Тбл_Dis!C61*Тбл_Dis!$D$2-Тбл_Dth!C61*Тбл_Dth!$D$2*Тбл_Dis!C61*Тбл_Dis!$D$2</f>
        <v>9.5348687499999998E-3</v>
      </c>
      <c r="D61" s="146">
        <f>Тбл_Dth!D61*Тбл_Dth!$D$2+Тбл_Dis!D61*Тбл_Dis!$D$2-Тбл_Dth!D61*Тбл_Dth!$D$2*Тбл_Dis!D61*Тбл_Dis!$D$2</f>
        <v>5.4246063941176459E-3</v>
      </c>
      <c r="F61" s="120">
        <v>53</v>
      </c>
      <c r="G61" s="119">
        <f t="shared" si="22"/>
        <v>88578.507837017736</v>
      </c>
      <c r="H61" s="119">
        <f t="shared" si="12"/>
        <v>844.58444629681048</v>
      </c>
      <c r="I61" s="121">
        <f t="shared" si="13"/>
        <v>9.5348687499999998E-3</v>
      </c>
      <c r="J61" s="117">
        <f t="shared" si="14"/>
        <v>0.99046513125000002</v>
      </c>
      <c r="K61" s="116">
        <f t="shared" si="15"/>
        <v>1499.2336428229514</v>
      </c>
      <c r="L61" s="116">
        <f>SUM(K61:K$109)</f>
        <v>17828.490844457308</v>
      </c>
      <c r="M61" s="116">
        <f>SUM(L61:L$109)</f>
        <v>208367.31296155261</v>
      </c>
      <c r="N61" s="116">
        <f t="shared" si="16"/>
        <v>13.236107416575203</v>
      </c>
      <c r="O61" s="116">
        <f>SUM(N61:N$109)</f>
        <v>150.08403731527187</v>
      </c>
      <c r="P61" s="115">
        <f>SUM(O61:O$109)</f>
        <v>996.36302027406543</v>
      </c>
      <c r="R61" s="120">
        <v>53</v>
      </c>
      <c r="S61" s="119">
        <f t="shared" si="23"/>
        <v>94272.326897610576</v>
      </c>
      <c r="T61" s="119">
        <f t="shared" si="17"/>
        <v>511.39026727712724</v>
      </c>
      <c r="U61" s="118">
        <f t="shared" si="18"/>
        <v>5.4246063941176459E-3</v>
      </c>
      <c r="V61" s="117">
        <f t="shared" si="19"/>
        <v>0.99457539360588232</v>
      </c>
      <c r="W61" s="116">
        <f t="shared" si="20"/>
        <v>1595.6042557428943</v>
      </c>
      <c r="X61" s="116">
        <f>SUM(W61:W$109)</f>
        <v>19744.298453767089</v>
      </c>
      <c r="Y61" s="116">
        <f>SUM(X61:X$109)</f>
        <v>235615.34105201406</v>
      </c>
      <c r="Z61" s="116">
        <f t="shared" si="21"/>
        <v>8.0143750446150275</v>
      </c>
      <c r="AA61" s="116">
        <f>SUM(Z61:Z$109)</f>
        <v>100.41516971040431</v>
      </c>
      <c r="AB61" s="115">
        <f>SUM(AA61:AA$109)</f>
        <v>691.53569614357002</v>
      </c>
    </row>
    <row r="62" spans="2:28">
      <c r="B62" s="123">
        <v>54</v>
      </c>
      <c r="C62" s="147">
        <f>Тбл_Dth!C62*Тбл_Dth!$D$2+Тбл_Dis!C62*Тбл_Dis!$D$2-Тбл_Dth!C62*Тбл_Dth!$D$2*Тбл_Dis!C62*Тбл_Dis!$D$2</f>
        <v>1.0215428054411764E-2</v>
      </c>
      <c r="D62" s="146">
        <f>Тбл_Dth!D62*Тбл_Dth!$D$2+Тбл_Dis!D62*Тбл_Dis!$D$2-Тбл_Dth!D62*Тбл_Dth!$D$2*Тбл_Dis!D62*Тбл_Dis!$D$2</f>
        <v>5.8951103499999997E-3</v>
      </c>
      <c r="F62" s="120">
        <v>54</v>
      </c>
      <c r="G62" s="119">
        <f t="shared" si="22"/>
        <v>87733.923390720927</v>
      </c>
      <c r="H62" s="119">
        <f t="shared" si="12"/>
        <v>896.23958232918301</v>
      </c>
      <c r="I62" s="121">
        <f t="shared" si="13"/>
        <v>1.0215428054411764E-2</v>
      </c>
      <c r="J62" s="117">
        <f t="shared" si="14"/>
        <v>0.98978457194558822</v>
      </c>
      <c r="K62" s="116">
        <f t="shared" si="15"/>
        <v>1374.9431914935649</v>
      </c>
      <c r="L62" s="116">
        <f>SUM(K62:K$109)</f>
        <v>16329.257201634357</v>
      </c>
      <c r="M62" s="116">
        <f>SUM(L62:L$109)</f>
        <v>190538.82211709532</v>
      </c>
      <c r="N62" s="116">
        <f t="shared" si="16"/>
        <v>13.005215973709081</v>
      </c>
      <c r="O62" s="116">
        <f>SUM(N62:N$109)</f>
        <v>136.84792989869666</v>
      </c>
      <c r="P62" s="115">
        <f>SUM(O62:O$109)</f>
        <v>846.27898295879356</v>
      </c>
      <c r="R62" s="120">
        <v>54</v>
      </c>
      <c r="S62" s="119">
        <f t="shared" si="23"/>
        <v>93760.936630333454</v>
      </c>
      <c r="T62" s="119">
        <f t="shared" si="17"/>
        <v>552.73106795517288</v>
      </c>
      <c r="U62" s="118">
        <f t="shared" si="18"/>
        <v>5.8951103499999997E-3</v>
      </c>
      <c r="V62" s="117">
        <f t="shared" si="19"/>
        <v>0.99410488964999999</v>
      </c>
      <c r="W62" s="116">
        <f t="shared" si="20"/>
        <v>1469.3969728654722</v>
      </c>
      <c r="X62" s="116">
        <f>SUM(W62:W$109)</f>
        <v>18148.694198024197</v>
      </c>
      <c r="Y62" s="116">
        <f>SUM(X62:X$109)</f>
        <v>215871.042598247</v>
      </c>
      <c r="Z62" s="116">
        <f t="shared" si="21"/>
        <v>8.0206086138869566</v>
      </c>
      <c r="AA62" s="116">
        <f>SUM(Z62:Z$109)</f>
        <v>92.400794665789277</v>
      </c>
      <c r="AB62" s="115">
        <f>SUM(AA62:AA$109)</f>
        <v>591.12052643316565</v>
      </c>
    </row>
    <row r="63" spans="2:28">
      <c r="B63" s="123">
        <v>55</v>
      </c>
      <c r="C63" s="147">
        <f>Тбл_Dth!C63*Тбл_Dth!$D$2+Тбл_Dis!C63*Тбл_Dis!$D$2-Тбл_Dth!C63*Тбл_Dth!$D$2*Тбл_Dis!C63*Тбл_Dis!$D$2</f>
        <v>1.0934109836764704E-2</v>
      </c>
      <c r="D63" s="146">
        <f>Тбл_Dth!D63*Тбл_Dth!$D$2+Тбл_Dis!D63*Тбл_Dis!$D$2-Тбл_Dth!D63*Тбл_Dth!$D$2*Тбл_Dis!D63*Тбл_Dis!$D$2</f>
        <v>6.389912375E-3</v>
      </c>
      <c r="F63" s="120">
        <v>55</v>
      </c>
      <c r="G63" s="119">
        <f t="shared" si="22"/>
        <v>86837.683808391739</v>
      </c>
      <c r="H63" s="119">
        <f t="shared" si="12"/>
        <v>949.49277273119912</v>
      </c>
      <c r="I63" s="121">
        <f t="shared" si="13"/>
        <v>1.0934109836764704E-2</v>
      </c>
      <c r="J63" s="117">
        <f t="shared" si="14"/>
        <v>0.98906589016323532</v>
      </c>
      <c r="K63" s="116">
        <f t="shared" si="15"/>
        <v>1260.0903317055174</v>
      </c>
      <c r="L63" s="116">
        <f>SUM(K63:K$109)</f>
        <v>14954.314010140797</v>
      </c>
      <c r="M63" s="116">
        <f>SUM(L63:L$109)</f>
        <v>174209.56491546097</v>
      </c>
      <c r="N63" s="116">
        <f t="shared" si="16"/>
        <v>12.757376010290182</v>
      </c>
      <c r="O63" s="116">
        <f>SUM(N63:N$109)</f>
        <v>123.84271392498759</v>
      </c>
      <c r="P63" s="115">
        <f>SUM(O63:O$109)</f>
        <v>709.43105306009681</v>
      </c>
      <c r="R63" s="120">
        <v>55</v>
      </c>
      <c r="S63" s="119">
        <f t="shared" si="23"/>
        <v>93208.20556237828</v>
      </c>
      <c r="T63" s="119">
        <f t="shared" si="17"/>
        <v>595.59226617458478</v>
      </c>
      <c r="U63" s="118">
        <f t="shared" si="18"/>
        <v>6.389912375E-3</v>
      </c>
      <c r="V63" s="117">
        <f t="shared" si="19"/>
        <v>0.99361008762500003</v>
      </c>
      <c r="W63" s="116">
        <f t="shared" si="20"/>
        <v>1352.5321440393277</v>
      </c>
      <c r="X63" s="116">
        <f>SUM(W63:W$109)</f>
        <v>16679.297225158734</v>
      </c>
      <c r="Y63" s="116">
        <f>SUM(X63:X$109)</f>
        <v>197722.34840022281</v>
      </c>
      <c r="Z63" s="116">
        <f t="shared" si="21"/>
        <v>8.0023721155390586</v>
      </c>
      <c r="AA63" s="116">
        <f>SUM(Z63:Z$109)</f>
        <v>84.380186051902314</v>
      </c>
      <c r="AB63" s="115">
        <f>SUM(AA63:AA$109)</f>
        <v>498.71973176737623</v>
      </c>
    </row>
    <row r="64" spans="2:28">
      <c r="B64" s="123">
        <v>56</v>
      </c>
      <c r="C64" s="147">
        <f>Тбл_Dth!C64*Тбл_Dth!$D$2+Тбл_Dis!C64*Тбл_Dis!$D$2-Тбл_Dth!C64*Тбл_Dth!$D$2*Тбл_Dis!C64*Тбл_Dis!$D$2</f>
        <v>1.1679192616176469E-2</v>
      </c>
      <c r="D64" s="146">
        <f>Тбл_Dth!D64*Тбл_Dth!$D$2+Тбл_Dis!D64*Тбл_Dis!$D$2-Тбл_Dth!D64*Тбл_Dth!$D$2*Тбл_Dis!D64*Тбл_Dis!$D$2</f>
        <v>6.9072305764705886E-3</v>
      </c>
      <c r="F64" s="120">
        <v>56</v>
      </c>
      <c r="G64" s="119">
        <f t="shared" si="22"/>
        <v>85888.191035660537</v>
      </c>
      <c r="H64" s="119">
        <f t="shared" si="12"/>
        <v>1003.1047265604406</v>
      </c>
      <c r="I64" s="121">
        <f t="shared" si="13"/>
        <v>1.1679192616176469E-2</v>
      </c>
      <c r="J64" s="117">
        <f t="shared" si="14"/>
        <v>0.98832080738382355</v>
      </c>
      <c r="K64" s="116">
        <f t="shared" si="15"/>
        <v>1153.9929311244482</v>
      </c>
      <c r="L64" s="116">
        <f>SUM(K64:K$109)</f>
        <v>13694.223678435277</v>
      </c>
      <c r="M64" s="116">
        <f>SUM(L64:L$109)</f>
        <v>159255.25090532016</v>
      </c>
      <c r="N64" s="116">
        <f t="shared" si="16"/>
        <v>12.47935714843379</v>
      </c>
      <c r="O64" s="116">
        <f>SUM(N64:N$109)</f>
        <v>111.0853379146974</v>
      </c>
      <c r="P64" s="115">
        <f>SUM(O64:O$109)</f>
        <v>585.58833913510932</v>
      </c>
      <c r="R64" s="120">
        <v>56</v>
      </c>
      <c r="S64" s="119">
        <f t="shared" si="23"/>
        <v>92612.613296203694</v>
      </c>
      <c r="T64" s="119">
        <f t="shared" si="17"/>
        <v>639.69667432638471</v>
      </c>
      <c r="U64" s="118">
        <f t="shared" si="18"/>
        <v>6.9072305764705886E-3</v>
      </c>
      <c r="V64" s="117">
        <f t="shared" si="19"/>
        <v>0.99309276942352942</v>
      </c>
      <c r="W64" s="116">
        <f t="shared" si="20"/>
        <v>1244.3422056986533</v>
      </c>
      <c r="X64" s="116">
        <f>SUM(W64:W$109)</f>
        <v>15326.765081119407</v>
      </c>
      <c r="Y64" s="116">
        <f>SUM(X64:X$109)</f>
        <v>181043.05117506409</v>
      </c>
      <c r="Z64" s="116">
        <f t="shared" si="21"/>
        <v>7.9582949359209172</v>
      </c>
      <c r="AA64" s="116">
        <f>SUM(Z64:Z$109)</f>
        <v>76.377813936363253</v>
      </c>
      <c r="AB64" s="115">
        <f>SUM(AA64:AA$109)</f>
        <v>414.33954571547395</v>
      </c>
    </row>
    <row r="65" spans="2:28">
      <c r="B65" s="123">
        <v>57</v>
      </c>
      <c r="C65" s="147">
        <f>Тбл_Dth!C65*Тбл_Dth!$D$2+Тбл_Dis!C65*Тбл_Dis!$D$2-Тбл_Dth!C65*Тбл_Dth!$D$2*Тбл_Dis!C65*Тбл_Dis!$D$2</f>
        <v>1.2459048161764704E-2</v>
      </c>
      <c r="D65" s="146">
        <f>Тбл_Dth!D65*Тбл_Dth!$D$2+Тбл_Dis!D65*Тбл_Dis!$D$2-Тбл_Dth!D65*Тбл_Dth!$D$2*Тбл_Dis!D65*Тбл_Dis!$D$2</f>
        <v>7.4505623764705882E-3</v>
      </c>
      <c r="F65" s="120">
        <v>57</v>
      </c>
      <c r="G65" s="119">
        <f t="shared" si="22"/>
        <v>84885.086309100094</v>
      </c>
      <c r="H65" s="119">
        <f t="shared" si="12"/>
        <v>1057.5873785406318</v>
      </c>
      <c r="I65" s="121">
        <f t="shared" si="13"/>
        <v>1.2459048161764704E-2</v>
      </c>
      <c r="J65" s="117">
        <f t="shared" si="14"/>
        <v>0.98754095183823531</v>
      </c>
      <c r="K65" s="116">
        <f t="shared" si="15"/>
        <v>1056.0326161149439</v>
      </c>
      <c r="L65" s="116">
        <f>SUM(K65:K$109)</f>
        <v>12540.230747310829</v>
      </c>
      <c r="M65" s="116">
        <f>SUM(L65:L$109)</f>
        <v>145561.02722688485</v>
      </c>
      <c r="N65" s="116">
        <f t="shared" si="16"/>
        <v>12.182556689417096</v>
      </c>
      <c r="O65" s="116">
        <f>SUM(N65:N$109)</f>
        <v>98.605980766263613</v>
      </c>
      <c r="P65" s="115">
        <f>SUM(O65:O$109)</f>
        <v>474.50300122041193</v>
      </c>
      <c r="R65" s="120">
        <v>57</v>
      </c>
      <c r="S65" s="119">
        <f t="shared" si="23"/>
        <v>91972.916621877303</v>
      </c>
      <c r="T65" s="119">
        <f t="shared" si="17"/>
        <v>685.24995223722544</v>
      </c>
      <c r="U65" s="118">
        <f t="shared" si="18"/>
        <v>7.4505623764705882E-3</v>
      </c>
      <c r="V65" s="117">
        <f t="shared" si="19"/>
        <v>0.99254943762352943</v>
      </c>
      <c r="W65" s="116">
        <f t="shared" si="20"/>
        <v>1144.2104140443134</v>
      </c>
      <c r="X65" s="116">
        <f>SUM(W65:W$109)</f>
        <v>14082.422875420752</v>
      </c>
      <c r="Y65" s="116">
        <f>SUM(X65:X$109)</f>
        <v>165716.28609394463</v>
      </c>
      <c r="Z65" s="116">
        <f t="shared" si="21"/>
        <v>7.8935287607818481</v>
      </c>
      <c r="AA65" s="116">
        <f>SUM(Z65:Z$109)</f>
        <v>68.419519000442335</v>
      </c>
      <c r="AB65" s="115">
        <f>SUM(AA65:AA$109)</f>
        <v>337.96173177911072</v>
      </c>
    </row>
    <row r="66" spans="2:28">
      <c r="B66" s="123">
        <v>58</v>
      </c>
      <c r="C66" s="147">
        <f>Тбл_Dth!C66*Тбл_Dth!$D$2+Тбл_Dis!C66*Тбл_Dis!$D$2-Тбл_Dth!C66*Тбл_Dth!$D$2*Тбл_Dis!C66*Тбл_Dis!$D$2</f>
        <v>1.3280184845588235E-2</v>
      </c>
      <c r="D66" s="146">
        <f>Тбл_Dth!D66*Тбл_Dth!$D$2+Тбл_Dis!D66*Тбл_Dis!$D$2-Тбл_Dth!D66*Тбл_Dth!$D$2*Тбл_Dis!D66*Тбл_Dis!$D$2</f>
        <v>8.0261869147058816E-3</v>
      </c>
      <c r="F66" s="120">
        <v>58</v>
      </c>
      <c r="G66" s="119">
        <f t="shared" si="22"/>
        <v>83827.498930559464</v>
      </c>
      <c r="H66" s="119">
        <f t="shared" si="12"/>
        <v>1113.2446809411797</v>
      </c>
      <c r="I66" s="121">
        <f t="shared" si="13"/>
        <v>1.3280184845588235E-2</v>
      </c>
      <c r="J66" s="117">
        <f t="shared" si="14"/>
        <v>0.98671981515441176</v>
      </c>
      <c r="K66" s="116">
        <f t="shared" si="15"/>
        <v>965.62542119479019</v>
      </c>
      <c r="L66" s="116">
        <f>SUM(K66:K$109)</f>
        <v>11484.198131195886</v>
      </c>
      <c r="M66" s="116">
        <f>SUM(L66:L$109)</f>
        <v>133020.79647957406</v>
      </c>
      <c r="N66" s="116">
        <f t="shared" si="16"/>
        <v>11.873781560246117</v>
      </c>
      <c r="O66" s="116">
        <f>SUM(N66:N$109)</f>
        <v>86.423424076846516</v>
      </c>
      <c r="P66" s="115">
        <f>SUM(O66:O$109)</f>
        <v>375.89702045414828</v>
      </c>
      <c r="R66" s="120">
        <v>58</v>
      </c>
      <c r="S66" s="119">
        <f t="shared" si="23"/>
        <v>91287.666669640079</v>
      </c>
      <c r="T66" s="119">
        <f t="shared" si="17"/>
        <v>732.69187569789744</v>
      </c>
      <c r="U66" s="118">
        <f t="shared" si="18"/>
        <v>8.0261869147058816E-3</v>
      </c>
      <c r="V66" s="117">
        <f t="shared" si="19"/>
        <v>0.99197381308529409</v>
      </c>
      <c r="W66" s="116">
        <f t="shared" si="20"/>
        <v>1051.5605583172862</v>
      </c>
      <c r="X66" s="116">
        <f>SUM(W66:W$109)</f>
        <v>12938.212461376437</v>
      </c>
      <c r="Y66" s="116">
        <f>SUM(X66:X$109)</f>
        <v>151633.86321852388</v>
      </c>
      <c r="Z66" s="116">
        <f t="shared" si="21"/>
        <v>7.8148348085064914</v>
      </c>
      <c r="AA66" s="116">
        <f>SUM(Z66:Z$109)</f>
        <v>60.525990239660487</v>
      </c>
      <c r="AB66" s="115">
        <f>SUM(AA66:AA$109)</f>
        <v>269.54221277866839</v>
      </c>
    </row>
    <row r="67" spans="2:28">
      <c r="B67" s="123">
        <v>59</v>
      </c>
      <c r="C67" s="147">
        <f>Тбл_Dth!C67*Тбл_Dth!$D$2+Тбл_Dis!C67*Тбл_Dis!$D$2-Тбл_Dth!C67*Тбл_Dth!$D$2*Тбл_Dis!C67*Тбл_Dis!$D$2</f>
        <v>1.4169064064705882E-2</v>
      </c>
      <c r="D67" s="146">
        <f>Тбл_Dth!D67*Тбл_Dth!$D$2+Тбл_Dis!D67*Тбл_Dis!$D$2-Тбл_Dth!D67*Тбл_Dth!$D$2*Тбл_Dis!D67*Тбл_Dis!$D$2</f>
        <v>8.6520851014705857E-3</v>
      </c>
      <c r="F67" s="120">
        <v>59</v>
      </c>
      <c r="G67" s="119">
        <f t="shared" si="22"/>
        <v>82714.254249618287</v>
      </c>
      <c r="H67" s="119">
        <f t="shared" si="12"/>
        <v>1171.9835675272122</v>
      </c>
      <c r="I67" s="121">
        <f t="shared" si="13"/>
        <v>1.4169064064705882E-2</v>
      </c>
      <c r="J67" s="117">
        <f t="shared" si="14"/>
        <v>0.98583093593529414</v>
      </c>
      <c r="K67" s="116">
        <f t="shared" si="15"/>
        <v>882.22383065715212</v>
      </c>
      <c r="L67" s="116">
        <f>SUM(K67:K$109)</f>
        <v>10518.572710001095</v>
      </c>
      <c r="M67" s="116">
        <f>SUM(L67:L$109)</f>
        <v>121536.59834837813</v>
      </c>
      <c r="N67" s="116">
        <f t="shared" si="16"/>
        <v>11.574338866658724</v>
      </c>
      <c r="O67" s="116">
        <f>SUM(N67:N$109)</f>
        <v>74.549642516600414</v>
      </c>
      <c r="P67" s="115">
        <f>SUM(O67:O$109)</f>
        <v>289.47359637730176</v>
      </c>
      <c r="R67" s="120">
        <v>59</v>
      </c>
      <c r="S67" s="119">
        <f t="shared" si="23"/>
        <v>90554.97479394218</v>
      </c>
      <c r="T67" s="119">
        <f t="shared" si="17"/>
        <v>783.48934827871153</v>
      </c>
      <c r="U67" s="118">
        <f t="shared" si="18"/>
        <v>8.6520851014705857E-3</v>
      </c>
      <c r="V67" s="117">
        <f t="shared" si="19"/>
        <v>0.99134791489852936</v>
      </c>
      <c r="W67" s="116">
        <f t="shared" si="20"/>
        <v>965.85234881861004</v>
      </c>
      <c r="X67" s="116">
        <f>SUM(W67:W$109)</f>
        <v>11886.651903059152</v>
      </c>
      <c r="Y67" s="116">
        <f>SUM(X67:X$109)</f>
        <v>138695.65075714741</v>
      </c>
      <c r="Z67" s="116">
        <f t="shared" si="21"/>
        <v>7.7376265902165446</v>
      </c>
      <c r="AA67" s="116">
        <f>SUM(Z67:Z$109)</f>
        <v>52.711155431153998</v>
      </c>
      <c r="AB67" s="115">
        <f>SUM(AA67:AA$109)</f>
        <v>209.01622253900794</v>
      </c>
    </row>
    <row r="68" spans="2:28">
      <c r="B68" s="123">
        <v>60</v>
      </c>
      <c r="C68" s="147">
        <f>Тбл_Dth!C68*Тбл_Dth!$D$2+Тбл_Dis!C68*Тбл_Dis!$D$2-Тбл_Dth!C68*Тбл_Dth!$D$2*Тбл_Dis!C68*Тбл_Dis!$D$2</f>
        <v>1.5124440188235297E-2</v>
      </c>
      <c r="D68" s="146">
        <f>Тбл_Dth!D68*Тбл_Dth!$D$2+Тбл_Dis!D68*Тбл_Dis!$D$2-Тбл_Dth!D68*Тбл_Dth!$D$2*Тбл_Dis!D68*Тбл_Dis!$D$2</f>
        <v>9.3368469117647047E-3</v>
      </c>
      <c r="F68" s="120">
        <v>60</v>
      </c>
      <c r="G68" s="119">
        <f t="shared" si="22"/>
        <v>81542.270682091068</v>
      </c>
      <c r="H68" s="119">
        <f t="shared" si="12"/>
        <v>1233.2811957441788</v>
      </c>
      <c r="I68" s="121">
        <f t="shared" si="13"/>
        <v>1.5124440188235297E-2</v>
      </c>
      <c r="J68" s="117">
        <f t="shared" si="14"/>
        <v>0.98487555981176467</v>
      </c>
      <c r="K68" s="116">
        <f t="shared" si="15"/>
        <v>805.29957840848215</v>
      </c>
      <c r="L68" s="116">
        <f>SUM(K68:K$109)</f>
        <v>9636.3488793439392</v>
      </c>
      <c r="M68" s="116">
        <f>SUM(L68:L$109)</f>
        <v>111018.02563837705</v>
      </c>
      <c r="N68" s="116">
        <f t="shared" si="16"/>
        <v>11.27750491412054</v>
      </c>
      <c r="O68" s="116">
        <f>SUM(N68:N$109)</f>
        <v>62.975303649941679</v>
      </c>
      <c r="P68" s="115">
        <f>SUM(O68:O$109)</f>
        <v>214.92395386070137</v>
      </c>
      <c r="R68" s="120">
        <v>60</v>
      </c>
      <c r="S68" s="119">
        <f t="shared" si="23"/>
        <v>89771.485445663464</v>
      </c>
      <c r="T68" s="119">
        <f t="shared" si="17"/>
        <v>838.18261664787303</v>
      </c>
      <c r="U68" s="118">
        <f t="shared" si="18"/>
        <v>9.3368469117647047E-3</v>
      </c>
      <c r="V68" s="117">
        <f t="shared" si="19"/>
        <v>0.99066315308823527</v>
      </c>
      <c r="W68" s="116">
        <f t="shared" si="20"/>
        <v>886.57010379738551</v>
      </c>
      <c r="X68" s="116">
        <f>SUM(W68:W$109)</f>
        <v>10920.799554240542</v>
      </c>
      <c r="Y68" s="116">
        <f>SUM(X68:X$109)</f>
        <v>126808.99885408822</v>
      </c>
      <c r="Z68" s="116">
        <f t="shared" si="21"/>
        <v>7.6646012367625262</v>
      </c>
      <c r="AA68" s="116">
        <f>SUM(Z68:Z$109)</f>
        <v>44.973528840937455</v>
      </c>
      <c r="AB68" s="115">
        <f>SUM(AA68:AA$109)</f>
        <v>156.30506710785394</v>
      </c>
    </row>
    <row r="69" spans="2:28">
      <c r="B69" s="123">
        <v>61</v>
      </c>
      <c r="C69" s="147">
        <f>Тбл_Dth!C69*Тбл_Dth!$D$2+Тбл_Dis!C69*Тбл_Dis!$D$2-Тбл_Dth!C69*Тбл_Dth!$D$2*Тбл_Dis!C69*Тбл_Dis!$D$2</f>
        <v>1.6133865413235294E-2</v>
      </c>
      <c r="D69" s="146">
        <f>Тбл_Dth!D69*Тбл_Dth!$D$2+Тбл_Dis!D69*Тбл_Dis!$D$2-Тбл_Dth!D69*Тбл_Dth!$D$2*Тбл_Dis!D69*Тбл_Dis!$D$2</f>
        <v>1.0080411176470587E-2</v>
      </c>
      <c r="F69" s="120">
        <v>61</v>
      </c>
      <c r="G69" s="119">
        <f t="shared" si="22"/>
        <v>80308.989486346894</v>
      </c>
      <c r="H69" s="119">
        <f t="shared" si="12"/>
        <v>1295.694427845649</v>
      </c>
      <c r="I69" s="121">
        <f t="shared" si="13"/>
        <v>1.6133865413235294E-2</v>
      </c>
      <c r="J69" s="117">
        <f t="shared" si="14"/>
        <v>0.98386613458676475</v>
      </c>
      <c r="K69" s="116">
        <f t="shared" si="15"/>
        <v>734.37025287151084</v>
      </c>
      <c r="L69" s="116">
        <f>SUM(K69:K$109)</f>
        <v>8831.0493009354559</v>
      </c>
      <c r="M69" s="116">
        <f>SUM(L69:L$109)</f>
        <v>101381.67675903313</v>
      </c>
      <c r="N69" s="116">
        <f t="shared" si="16"/>
        <v>10.970584095659747</v>
      </c>
      <c r="O69" s="116">
        <f>SUM(N69:N$109)</f>
        <v>51.697798735821138</v>
      </c>
      <c r="P69" s="115">
        <f>SUM(O69:O$109)</f>
        <v>151.94865021075969</v>
      </c>
      <c r="R69" s="120">
        <v>61</v>
      </c>
      <c r="S69" s="119">
        <f t="shared" si="23"/>
        <v>88933.302829015593</v>
      </c>
      <c r="T69" s="119">
        <f t="shared" si="17"/>
        <v>896.48425979805211</v>
      </c>
      <c r="U69" s="118">
        <f t="shared" si="18"/>
        <v>1.0080411176470587E-2</v>
      </c>
      <c r="V69" s="117">
        <f t="shared" si="19"/>
        <v>0.98991958882352937</v>
      </c>
      <c r="W69" s="116">
        <f t="shared" si="20"/>
        <v>813.23364302007553</v>
      </c>
      <c r="X69" s="116">
        <f>SUM(W69:W$109)</f>
        <v>10034.229450443156</v>
      </c>
      <c r="Y69" s="116">
        <f>SUM(X69:X$109)</f>
        <v>115888.19929984768</v>
      </c>
      <c r="Z69" s="116">
        <f t="shared" si="21"/>
        <v>7.5904902816495028</v>
      </c>
      <c r="AA69" s="116">
        <f>SUM(Z69:Z$109)</f>
        <v>37.308927604174933</v>
      </c>
      <c r="AB69" s="115">
        <f>SUM(AA69:AA$109)</f>
        <v>111.3315382669165</v>
      </c>
    </row>
    <row r="70" spans="2:28">
      <c r="B70" s="123">
        <v>62</v>
      </c>
      <c r="C70" s="147">
        <f>Тбл_Dth!C70*Тбл_Dth!$D$2+Тбл_Dis!C70*Тбл_Dis!$D$2-Тбл_Dth!C70*Тбл_Dth!$D$2*Тбл_Dis!C70*Тбл_Dis!$D$2</f>
        <v>1.7199749594117648E-2</v>
      </c>
      <c r="D70" s="146">
        <f>Тбл_Dth!D70*Тбл_Dth!$D$2+Тбл_Dis!D70*Тбл_Dis!$D$2-Тбл_Dth!D70*Тбл_Dth!$D$2*Тбл_Dis!D70*Тбл_Dis!$D$2</f>
        <v>1.0891563188235294E-2</v>
      </c>
      <c r="F70" s="120">
        <v>62</v>
      </c>
      <c r="G70" s="119">
        <f t="shared" si="22"/>
        <v>79013.295058501244</v>
      </c>
      <c r="H70" s="119">
        <f t="shared" si="12"/>
        <v>1359.0088896123548</v>
      </c>
      <c r="I70" s="121">
        <f t="shared" si="13"/>
        <v>1.7199749594117648E-2</v>
      </c>
      <c r="J70" s="117">
        <f t="shared" si="14"/>
        <v>0.98280025040588237</v>
      </c>
      <c r="K70" s="116">
        <f t="shared" si="15"/>
        <v>669.00187226685034</v>
      </c>
      <c r="L70" s="116">
        <f>SUM(K70:K$109)</f>
        <v>8096.6790480639465</v>
      </c>
      <c r="M70" s="116">
        <f>SUM(L70:L$109)</f>
        <v>92550.627458097661</v>
      </c>
      <c r="N70" s="116">
        <f t="shared" si="16"/>
        <v>10.654319149060836</v>
      </c>
      <c r="O70" s="116">
        <f>SUM(N70:N$109)</f>
        <v>40.727214640161385</v>
      </c>
      <c r="P70" s="115">
        <f>SUM(O70:O$109)</f>
        <v>100.25085147493854</v>
      </c>
      <c r="R70" s="120">
        <v>62</v>
      </c>
      <c r="S70" s="119">
        <f t="shared" si="23"/>
        <v>88036.818569217547</v>
      </c>
      <c r="T70" s="119">
        <f t="shared" si="17"/>
        <v>958.85857233783918</v>
      </c>
      <c r="U70" s="118">
        <f t="shared" si="18"/>
        <v>1.0891563188235294E-2</v>
      </c>
      <c r="V70" s="117">
        <f t="shared" si="19"/>
        <v>0.98910843681176475</v>
      </c>
      <c r="W70" s="116">
        <f t="shared" si="20"/>
        <v>745.403623625828</v>
      </c>
      <c r="X70" s="116">
        <f>SUM(W70:W$109)</f>
        <v>9220.9958074230781</v>
      </c>
      <c r="Y70" s="116">
        <f>SUM(X70:X$109)</f>
        <v>105853.96984940453</v>
      </c>
      <c r="Z70" s="116">
        <f t="shared" si="21"/>
        <v>7.5172320995002426</v>
      </c>
      <c r="AA70" s="116">
        <f>SUM(Z70:Z$109)</f>
        <v>29.718437322525425</v>
      </c>
      <c r="AB70" s="115">
        <f>SUM(AA70:AA$109)</f>
        <v>74.022610662741556</v>
      </c>
    </row>
    <row r="71" spans="2:28">
      <c r="B71" s="123">
        <v>63</v>
      </c>
      <c r="C71" s="147">
        <f>Тбл_Dth!C71*Тбл_Dth!$D$2+Тбл_Dis!C71*Тбл_Dis!$D$2-Тбл_Dth!C71*Тбл_Dth!$D$2*Тбл_Dis!C71*Тбл_Dis!$D$2</f>
        <v>1.8335850470588236E-2</v>
      </c>
      <c r="D71" s="146">
        <f>Тбл_Dth!D71*Тбл_Dth!$D$2+Тбл_Dis!D71*Тбл_Dis!$D$2-Тбл_Dth!D71*Тбл_Dth!$D$2*Тбл_Dis!D71*Тбл_Dis!$D$2</f>
        <v>1.1787546547058823E-2</v>
      </c>
      <c r="F71" s="120">
        <v>63</v>
      </c>
      <c r="G71" s="119">
        <f t="shared" si="22"/>
        <v>77654.286168888895</v>
      </c>
      <c r="H71" s="119">
        <f t="shared" si="12"/>
        <v>1423.8573795930149</v>
      </c>
      <c r="I71" s="121">
        <f t="shared" si="13"/>
        <v>1.8335850470588236E-2</v>
      </c>
      <c r="J71" s="117">
        <f t="shared" si="14"/>
        <v>0.98166414952941172</v>
      </c>
      <c r="K71" s="116">
        <f t="shared" si="15"/>
        <v>608.79185887580047</v>
      </c>
      <c r="L71" s="116">
        <f>SUM(K71:K$109)</f>
        <v>7427.6771757970964</v>
      </c>
      <c r="M71" s="116">
        <f>SUM(L71:L$109)</f>
        <v>84453.948410033729</v>
      </c>
      <c r="N71" s="116">
        <f t="shared" si="16"/>
        <v>10.335848603757531</v>
      </c>
      <c r="O71" s="116">
        <f>SUM(N71:N$109)</f>
        <v>30.072895491100553</v>
      </c>
      <c r="P71" s="115">
        <f>SUM(O71:O$109)</f>
        <v>59.523636834777164</v>
      </c>
      <c r="R71" s="120">
        <v>63</v>
      </c>
      <c r="S71" s="119">
        <f t="shared" si="23"/>
        <v>87077.959996879712</v>
      </c>
      <c r="T71" s="119">
        <f t="shared" si="17"/>
        <v>1026.4355066861458</v>
      </c>
      <c r="U71" s="118">
        <f t="shared" si="18"/>
        <v>1.1787546547058823E-2</v>
      </c>
      <c r="V71" s="117">
        <f t="shared" si="19"/>
        <v>0.98821245345294118</v>
      </c>
      <c r="W71" s="116">
        <f t="shared" si="20"/>
        <v>682.67130829478481</v>
      </c>
      <c r="X71" s="116">
        <f>SUM(W71:W$109)</f>
        <v>8475.592183797251</v>
      </c>
      <c r="Y71" s="116">
        <f>SUM(X71:X$109)</f>
        <v>96632.974041981448</v>
      </c>
      <c r="Z71" s="116">
        <f t="shared" si="21"/>
        <v>7.4509442804317789</v>
      </c>
      <c r="AA71" s="116">
        <f>SUM(Z71:Z$109)</f>
        <v>22.201205223025184</v>
      </c>
      <c r="AB71" s="115">
        <f>SUM(AA71:AA$109)</f>
        <v>44.304173340216131</v>
      </c>
    </row>
    <row r="72" spans="2:28">
      <c r="B72" s="123">
        <v>64</v>
      </c>
      <c r="C72" s="147">
        <f>Тбл_Dth!C72*Тбл_Dth!$D$2+Тбл_Dis!C72*Тбл_Dis!$D$2-Тбл_Dth!C72*Тбл_Dth!$D$2*Тбл_Dis!C72*Тбл_Dis!$D$2</f>
        <v>1.9562697744117643E-2</v>
      </c>
      <c r="D72" s="146">
        <f>Тбл_Dth!D72*Тбл_Dth!$D$2+Тбл_Dis!D72*Тбл_Dis!$D$2-Тбл_Dth!D72*Тбл_Dth!$D$2*Тбл_Dis!D72*Тбл_Dis!$D$2</f>
        <v>1.2790091999999999E-2</v>
      </c>
      <c r="F72" s="120">
        <v>64</v>
      </c>
      <c r="G72" s="119">
        <f t="shared" si="22"/>
        <v>76230.428789295882</v>
      </c>
      <c r="H72" s="119">
        <f t="shared" ref="H72:H103" si="24">G72*I72</f>
        <v>1491.2728373094792</v>
      </c>
      <c r="I72" s="121">
        <f t="shared" ref="I72:I103" si="25">C72*$D$2</f>
        <v>1.9562697744117643E-2</v>
      </c>
      <c r="J72" s="117">
        <f t="shared" ref="J72:J103" si="26">1-I72</f>
        <v>0.98043730225588233</v>
      </c>
      <c r="K72" s="116">
        <f t="shared" ref="K72:K103" si="27">v($C$2)^$F72*$G72</f>
        <v>553.36031702198375</v>
      </c>
      <c r="L72" s="116">
        <f>SUM(K72:K$109)</f>
        <v>6818.8853169212962</v>
      </c>
      <c r="M72" s="116">
        <f>SUM(L72:L$109)</f>
        <v>77026.271234236614</v>
      </c>
      <c r="N72" s="116">
        <f t="shared" ref="N72:N103" si="28">v($C$2)^($F72+1)*$H72</f>
        <v>10.023352431009428</v>
      </c>
      <c r="O72" s="116">
        <f>SUM(N72:N$109)</f>
        <v>19.73704688734302</v>
      </c>
      <c r="P72" s="115">
        <f>SUM(O72:O$109)</f>
        <v>29.450741343676611</v>
      </c>
      <c r="R72" s="120">
        <v>64</v>
      </c>
      <c r="S72" s="119">
        <f t="shared" si="23"/>
        <v>86051.524490193566</v>
      </c>
      <c r="T72" s="119">
        <f t="shared" ref="T72:T103" si="29">S72*U72</f>
        <v>1100.6069149698287</v>
      </c>
      <c r="U72" s="118">
        <f t="shared" ref="U72:U108" si="30">D72*$D$2</f>
        <v>1.2790091999999999E-2</v>
      </c>
      <c r="V72" s="117">
        <f t="shared" ref="V72:V103" si="31">1-U72</f>
        <v>0.98720990799999997</v>
      </c>
      <c r="W72" s="116">
        <f t="shared" ref="W72:W103" si="32">v($C$2)^$R72*$S72</f>
        <v>624.65211895548009</v>
      </c>
      <c r="X72" s="116">
        <f>SUM(W72:W$109)</f>
        <v>7792.9208755024656</v>
      </c>
      <c r="Y72" s="116">
        <f>SUM(X72:X$109)</f>
        <v>88157.381858184235</v>
      </c>
      <c r="Z72" s="116">
        <f t="shared" ref="Z72:Z103" si="33">v($C$2)^($R72+1)*T72</f>
        <v>7.3975537679958636</v>
      </c>
      <c r="AA72" s="116">
        <f>SUM(Z72:Z$109)</f>
        <v>14.750260942593407</v>
      </c>
      <c r="AB72" s="115">
        <f>SUM(AA72:AA$109)</f>
        <v>22.102968117190947</v>
      </c>
    </row>
    <row r="73" spans="2:28">
      <c r="B73" s="123">
        <v>65</v>
      </c>
      <c r="C73" s="147">
        <f>Тбл_Dth!C73*Тбл_Dth!$D$2+Тбл_Dis!C73*Тбл_Dis!$D$2-Тбл_Dth!C73*Тбл_Dth!$D$2*Тбл_Dis!C73*Тбл_Dis!$D$2</f>
        <v>2.088353968088235E-2</v>
      </c>
      <c r="D73" s="146">
        <f>Тбл_Dth!D73*Тбл_Dth!$D$2+Тбл_Dis!D73*Тбл_Dis!$D$2-Тбл_Dth!D73*Тбл_Dth!$D$2*Тбл_Dis!D73*Тбл_Dis!$D$2</f>
        <v>1.3907435623529411E-2</v>
      </c>
      <c r="F73" s="120">
        <v>65</v>
      </c>
      <c r="G73" s="119">
        <f t="shared" ref="G73:G109" si="34">G72-H72</f>
        <v>74739.155951986409</v>
      </c>
      <c r="H73" s="119">
        <f t="shared" si="24"/>
        <v>1560.8181290389625</v>
      </c>
      <c r="I73" s="121">
        <f t="shared" si="25"/>
        <v>2.088353968088235E-2</v>
      </c>
      <c r="J73" s="117">
        <f t="shared" si="26"/>
        <v>0.9791164603191177</v>
      </c>
      <c r="K73" s="116">
        <f t="shared" si="27"/>
        <v>502.34731147823476</v>
      </c>
      <c r="L73" s="116">
        <f>SUM(K73:K$109)</f>
        <v>6265.5249998993113</v>
      </c>
      <c r="M73" s="116">
        <f>SUM(L73:L$109)</f>
        <v>70207.385917315303</v>
      </c>
      <c r="N73" s="116">
        <f t="shared" si="28"/>
        <v>9.7136944563335934</v>
      </c>
      <c r="O73" s="116">
        <f>SUM(N73:N$109)</f>
        <v>9.7136944563335934</v>
      </c>
      <c r="P73" s="115">
        <f>SUM(O73:O$109)</f>
        <v>9.7136944563335934</v>
      </c>
      <c r="R73" s="120">
        <v>65</v>
      </c>
      <c r="S73" s="119">
        <f t="shared" ref="S73:S109" si="35">S72-T72</f>
        <v>84950.917575223735</v>
      </c>
      <c r="T73" s="119">
        <f t="shared" si="29"/>
        <v>1181.4494173371772</v>
      </c>
      <c r="U73" s="118">
        <f t="shared" si="30"/>
        <v>1.3907435623529411E-2</v>
      </c>
      <c r="V73" s="117">
        <f t="shared" si="31"/>
        <v>0.98609256437647064</v>
      </c>
      <c r="W73" s="116">
        <f t="shared" si="32"/>
        <v>570.98403785744858</v>
      </c>
      <c r="X73" s="116">
        <f>SUM(W73:W$109)</f>
        <v>7168.268756546986</v>
      </c>
      <c r="Y73" s="116">
        <f>SUM(X73:X$109)</f>
        <v>80364.460982681776</v>
      </c>
      <c r="Z73" s="116">
        <f t="shared" si="33"/>
        <v>7.3527071745975423</v>
      </c>
      <c r="AA73" s="116">
        <f>SUM(Z73:Z$109)</f>
        <v>7.3527071745975423</v>
      </c>
      <c r="AB73" s="115">
        <f>SUM(AA73:AA$109)</f>
        <v>7.3527071745975423</v>
      </c>
    </row>
    <row r="74" spans="2:28">
      <c r="B74" s="123">
        <v>66</v>
      </c>
      <c r="C74" s="149"/>
      <c r="D74" s="148"/>
      <c r="F74" s="120">
        <v>66</v>
      </c>
      <c r="G74" s="119">
        <f t="shared" si="34"/>
        <v>73178.337822947447</v>
      </c>
      <c r="H74" s="119">
        <f t="shared" si="24"/>
        <v>0</v>
      </c>
      <c r="I74" s="121">
        <f t="shared" si="25"/>
        <v>0</v>
      </c>
      <c r="J74" s="117">
        <f t="shared" si="26"/>
        <v>1</v>
      </c>
      <c r="K74" s="116">
        <f t="shared" si="27"/>
        <v>455.42270506055041</v>
      </c>
      <c r="L74" s="116">
        <f>SUM(K74:K$109)</f>
        <v>5763.1776884210776</v>
      </c>
      <c r="M74" s="116">
        <f>SUM(L74:L$109)</f>
        <v>63941.860917415986</v>
      </c>
      <c r="N74" s="116">
        <f t="shared" si="28"/>
        <v>0</v>
      </c>
      <c r="O74" s="116">
        <f>SUM(N74:N$109)</f>
        <v>0</v>
      </c>
      <c r="P74" s="115">
        <f>SUM(O74:O$109)</f>
        <v>0</v>
      </c>
      <c r="R74" s="120">
        <v>66</v>
      </c>
      <c r="S74" s="119">
        <f t="shared" si="35"/>
        <v>83769.468157886557</v>
      </c>
      <c r="T74" s="119">
        <f t="shared" si="29"/>
        <v>0</v>
      </c>
      <c r="U74" s="118">
        <f t="shared" si="30"/>
        <v>0</v>
      </c>
      <c r="V74" s="117">
        <f t="shared" si="31"/>
        <v>1</v>
      </c>
      <c r="W74" s="116">
        <f t="shared" si="32"/>
        <v>521.33621676748453</v>
      </c>
      <c r="X74" s="116">
        <f>SUM(W74:W$109)</f>
        <v>6597.2847186895369</v>
      </c>
      <c r="Y74" s="116">
        <f>SUM(X74:X$109)</f>
        <v>73196.192226134735</v>
      </c>
      <c r="Z74" s="116">
        <f t="shared" si="33"/>
        <v>0</v>
      </c>
      <c r="AA74" s="116">
        <f>SUM(Z74:Z$109)</f>
        <v>0</v>
      </c>
      <c r="AB74" s="115">
        <f>SUM(AA74:AA$109)</f>
        <v>0</v>
      </c>
    </row>
    <row r="75" spans="2:28">
      <c r="B75" s="123">
        <v>67</v>
      </c>
      <c r="C75" s="149"/>
      <c r="D75" s="148"/>
      <c r="F75" s="120">
        <v>67</v>
      </c>
      <c r="G75" s="119">
        <f t="shared" si="34"/>
        <v>73178.337822947447</v>
      </c>
      <c r="H75" s="119">
        <f t="shared" si="24"/>
        <v>0</v>
      </c>
      <c r="I75" s="121">
        <f t="shared" si="25"/>
        <v>0</v>
      </c>
      <c r="J75" s="117">
        <f t="shared" si="26"/>
        <v>1</v>
      </c>
      <c r="K75" s="116">
        <f t="shared" si="27"/>
        <v>421.68768987087998</v>
      </c>
      <c r="L75" s="116">
        <f>SUM(K75:K$109)</f>
        <v>5307.7549833605281</v>
      </c>
      <c r="M75" s="116">
        <f>SUM(L75:L$109)</f>
        <v>58178.683228994916</v>
      </c>
      <c r="N75" s="116">
        <f t="shared" si="28"/>
        <v>0</v>
      </c>
      <c r="O75" s="116">
        <f>SUM(N75:N$109)</f>
        <v>0</v>
      </c>
      <c r="P75" s="115">
        <f>SUM(O75:O$109)</f>
        <v>0</v>
      </c>
      <c r="R75" s="120">
        <v>67</v>
      </c>
      <c r="S75" s="119">
        <f t="shared" si="35"/>
        <v>83769.468157886557</v>
      </c>
      <c r="T75" s="119">
        <f t="shared" si="29"/>
        <v>0</v>
      </c>
      <c r="U75" s="118">
        <f t="shared" si="30"/>
        <v>0</v>
      </c>
      <c r="V75" s="117">
        <f t="shared" si="31"/>
        <v>1</v>
      </c>
      <c r="W75" s="116">
        <f t="shared" si="32"/>
        <v>482.71871922915227</v>
      </c>
      <c r="X75" s="116">
        <f>SUM(W75:W$109)</f>
        <v>6075.9485019220529</v>
      </c>
      <c r="Y75" s="116">
        <f>SUM(X75:X$109)</f>
        <v>66598.907507445227</v>
      </c>
      <c r="Z75" s="116">
        <f t="shared" si="33"/>
        <v>0</v>
      </c>
      <c r="AA75" s="116">
        <f>SUM(Z75:Z$109)</f>
        <v>0</v>
      </c>
      <c r="AB75" s="115">
        <f>SUM(AA75:AA$109)</f>
        <v>0</v>
      </c>
    </row>
    <row r="76" spans="2:28">
      <c r="B76" s="123">
        <v>68</v>
      </c>
      <c r="C76" s="149"/>
      <c r="D76" s="148"/>
      <c r="F76" s="120">
        <v>68</v>
      </c>
      <c r="G76" s="119">
        <f t="shared" si="34"/>
        <v>73178.337822947447</v>
      </c>
      <c r="H76" s="119">
        <f t="shared" si="24"/>
        <v>0</v>
      </c>
      <c r="I76" s="121">
        <f t="shared" si="25"/>
        <v>0</v>
      </c>
      <c r="J76" s="117">
        <f t="shared" si="26"/>
        <v>1</v>
      </c>
      <c r="K76" s="116">
        <f t="shared" si="27"/>
        <v>390.45156469525921</v>
      </c>
      <c r="L76" s="116">
        <f>SUM(K76:K$109)</f>
        <v>4886.0672934896493</v>
      </c>
      <c r="M76" s="116">
        <f>SUM(L76:L$109)</f>
        <v>52870.928245634394</v>
      </c>
      <c r="N76" s="116">
        <f t="shared" si="28"/>
        <v>0</v>
      </c>
      <c r="O76" s="116">
        <f>SUM(N76:N$109)</f>
        <v>0</v>
      </c>
      <c r="P76" s="115">
        <f>SUM(O76:O$109)</f>
        <v>0</v>
      </c>
      <c r="R76" s="120">
        <v>68</v>
      </c>
      <c r="S76" s="119">
        <f t="shared" si="35"/>
        <v>83769.468157886557</v>
      </c>
      <c r="T76" s="119">
        <f t="shared" si="29"/>
        <v>0</v>
      </c>
      <c r="U76" s="118">
        <f t="shared" si="30"/>
        <v>0</v>
      </c>
      <c r="V76" s="117">
        <f t="shared" si="31"/>
        <v>1</v>
      </c>
      <c r="W76" s="116">
        <f t="shared" si="32"/>
        <v>446.96177706402983</v>
      </c>
      <c r="X76" s="116">
        <f>SUM(W76:W$109)</f>
        <v>5593.2297826929007</v>
      </c>
      <c r="Y76" s="116">
        <f>SUM(X76:X$109)</f>
        <v>60522.959005523182</v>
      </c>
      <c r="Z76" s="116">
        <f t="shared" si="33"/>
        <v>0</v>
      </c>
      <c r="AA76" s="116">
        <f>SUM(Z76:Z$109)</f>
        <v>0</v>
      </c>
      <c r="AB76" s="115">
        <f>SUM(AA76:AA$109)</f>
        <v>0</v>
      </c>
    </row>
    <row r="77" spans="2:28">
      <c r="B77" s="123">
        <v>69</v>
      </c>
      <c r="C77" s="149"/>
      <c r="D77" s="148"/>
      <c r="F77" s="120">
        <v>69</v>
      </c>
      <c r="G77" s="119">
        <f t="shared" si="34"/>
        <v>73178.337822947447</v>
      </c>
      <c r="H77" s="119">
        <f t="shared" si="24"/>
        <v>0</v>
      </c>
      <c r="I77" s="121">
        <f t="shared" si="25"/>
        <v>0</v>
      </c>
      <c r="J77" s="117">
        <f t="shared" si="26"/>
        <v>1</v>
      </c>
      <c r="K77" s="116">
        <f t="shared" si="27"/>
        <v>361.5292265696844</v>
      </c>
      <c r="L77" s="116">
        <f>SUM(K77:K$109)</f>
        <v>4495.6157287943897</v>
      </c>
      <c r="M77" s="116">
        <f>SUM(L77:L$109)</f>
        <v>47984.860952144743</v>
      </c>
      <c r="N77" s="116">
        <f t="shared" si="28"/>
        <v>0</v>
      </c>
      <c r="O77" s="116">
        <f>SUM(N77:N$109)</f>
        <v>0</v>
      </c>
      <c r="P77" s="115">
        <f>SUM(O77:O$109)</f>
        <v>0</v>
      </c>
      <c r="R77" s="120">
        <v>69</v>
      </c>
      <c r="S77" s="119">
        <f t="shared" si="35"/>
        <v>83769.468157886557</v>
      </c>
      <c r="T77" s="119">
        <f t="shared" si="29"/>
        <v>0</v>
      </c>
      <c r="U77" s="118">
        <f t="shared" si="30"/>
        <v>0</v>
      </c>
      <c r="V77" s="117">
        <f t="shared" si="31"/>
        <v>1</v>
      </c>
      <c r="W77" s="116">
        <f t="shared" si="32"/>
        <v>413.85349728150902</v>
      </c>
      <c r="X77" s="116">
        <f>SUM(W77:W$109)</f>
        <v>5146.26800562887</v>
      </c>
      <c r="Y77" s="116">
        <f>SUM(X77:X$109)</f>
        <v>54929.729222830276</v>
      </c>
      <c r="Z77" s="116">
        <f t="shared" si="33"/>
        <v>0</v>
      </c>
      <c r="AA77" s="116">
        <f>SUM(Z77:Z$109)</f>
        <v>0</v>
      </c>
      <c r="AB77" s="115">
        <f>SUM(AA77:AA$109)</f>
        <v>0</v>
      </c>
    </row>
    <row r="78" spans="2:28">
      <c r="B78" s="123">
        <v>70</v>
      </c>
      <c r="C78" s="149"/>
      <c r="D78" s="148"/>
      <c r="F78" s="120">
        <v>70</v>
      </c>
      <c r="G78" s="119">
        <f t="shared" si="34"/>
        <v>73178.337822947447</v>
      </c>
      <c r="H78" s="119">
        <f t="shared" si="24"/>
        <v>0</v>
      </c>
      <c r="I78" s="121">
        <f t="shared" si="25"/>
        <v>0</v>
      </c>
      <c r="J78" s="117">
        <f t="shared" si="26"/>
        <v>1</v>
      </c>
      <c r="K78" s="116">
        <f t="shared" si="27"/>
        <v>334.74928386081888</v>
      </c>
      <c r="L78" s="116">
        <f>SUM(K78:K$109)</f>
        <v>4134.0865022247035</v>
      </c>
      <c r="M78" s="116">
        <f>SUM(L78:L$109)</f>
        <v>43489.24522335035</v>
      </c>
      <c r="N78" s="116">
        <f t="shared" si="28"/>
        <v>0</v>
      </c>
      <c r="O78" s="116">
        <f>SUM(N78:N$109)</f>
        <v>0</v>
      </c>
      <c r="P78" s="115">
        <f>SUM(O78:O$109)</f>
        <v>0</v>
      </c>
      <c r="R78" s="120">
        <v>70</v>
      </c>
      <c r="S78" s="119">
        <f t="shared" si="35"/>
        <v>83769.468157886557</v>
      </c>
      <c r="T78" s="119">
        <f t="shared" si="29"/>
        <v>0</v>
      </c>
      <c r="U78" s="118">
        <f t="shared" si="30"/>
        <v>0</v>
      </c>
      <c r="V78" s="117">
        <f t="shared" si="31"/>
        <v>1</v>
      </c>
      <c r="W78" s="116">
        <f t="shared" si="32"/>
        <v>383.19768266806386</v>
      </c>
      <c r="X78" s="116">
        <f>SUM(W78:W$109)</f>
        <v>4732.4145083473613</v>
      </c>
      <c r="Y78" s="116">
        <f>SUM(X78:X$109)</f>
        <v>49783.461217201402</v>
      </c>
      <c r="Z78" s="116">
        <f t="shared" si="33"/>
        <v>0</v>
      </c>
      <c r="AA78" s="116">
        <f>SUM(Z78:Z$109)</f>
        <v>0</v>
      </c>
      <c r="AB78" s="115">
        <f>SUM(AA78:AA$109)</f>
        <v>0</v>
      </c>
    </row>
    <row r="79" spans="2:28">
      <c r="B79" s="123">
        <v>71</v>
      </c>
      <c r="C79" s="149"/>
      <c r="D79" s="148"/>
      <c r="F79" s="120">
        <v>71</v>
      </c>
      <c r="G79" s="119">
        <f t="shared" si="34"/>
        <v>73178.337822947447</v>
      </c>
      <c r="H79" s="119">
        <f t="shared" si="24"/>
        <v>0</v>
      </c>
      <c r="I79" s="121">
        <f t="shared" si="25"/>
        <v>0</v>
      </c>
      <c r="J79" s="117">
        <f t="shared" si="26"/>
        <v>1</v>
      </c>
      <c r="K79" s="116">
        <f t="shared" si="27"/>
        <v>309.95304061186926</v>
      </c>
      <c r="L79" s="116">
        <f>SUM(K79:K$109)</f>
        <v>3799.3372183638839</v>
      </c>
      <c r="M79" s="116">
        <f>SUM(L79:L$109)</f>
        <v>39355.158721125648</v>
      </c>
      <c r="N79" s="116">
        <f t="shared" si="28"/>
        <v>0</v>
      </c>
      <c r="O79" s="116">
        <f>SUM(N79:N$109)</f>
        <v>0</v>
      </c>
      <c r="P79" s="115">
        <f>SUM(O79:O$109)</f>
        <v>0</v>
      </c>
      <c r="R79" s="120">
        <v>71</v>
      </c>
      <c r="S79" s="119">
        <f t="shared" si="35"/>
        <v>83769.468157886557</v>
      </c>
      <c r="T79" s="119">
        <f t="shared" si="29"/>
        <v>0</v>
      </c>
      <c r="U79" s="118">
        <f t="shared" si="30"/>
        <v>0</v>
      </c>
      <c r="V79" s="117">
        <f t="shared" si="31"/>
        <v>1</v>
      </c>
      <c r="W79" s="116">
        <f t="shared" si="32"/>
        <v>354.81266913709612</v>
      </c>
      <c r="X79" s="116">
        <f>SUM(W79:W$109)</f>
        <v>4349.2168256792975</v>
      </c>
      <c r="Y79" s="116">
        <f>SUM(X79:X$109)</f>
        <v>45051.046708854046</v>
      </c>
      <c r="Z79" s="116">
        <f t="shared" si="33"/>
        <v>0</v>
      </c>
      <c r="AA79" s="116">
        <f>SUM(Z79:Z$109)</f>
        <v>0</v>
      </c>
      <c r="AB79" s="115">
        <f>SUM(AA79:AA$109)</f>
        <v>0</v>
      </c>
    </row>
    <row r="80" spans="2:28">
      <c r="B80" s="123">
        <v>72</v>
      </c>
      <c r="C80" s="149"/>
      <c r="D80" s="148"/>
      <c r="F80" s="120">
        <v>72</v>
      </c>
      <c r="G80" s="119">
        <f t="shared" si="34"/>
        <v>73178.337822947447</v>
      </c>
      <c r="H80" s="119">
        <f t="shared" si="24"/>
        <v>0</v>
      </c>
      <c r="I80" s="121">
        <f t="shared" si="25"/>
        <v>0</v>
      </c>
      <c r="J80" s="117">
        <f t="shared" si="26"/>
        <v>1</v>
      </c>
      <c r="K80" s="116">
        <f t="shared" si="27"/>
        <v>286.99355612210115</v>
      </c>
      <c r="L80" s="116">
        <f>SUM(K80:K$109)</f>
        <v>3489.3841777520151</v>
      </c>
      <c r="M80" s="116">
        <f>SUM(L80:L$109)</f>
        <v>35555.82150276177</v>
      </c>
      <c r="N80" s="116">
        <f t="shared" si="28"/>
        <v>0</v>
      </c>
      <c r="O80" s="116">
        <f>SUM(N80:N$109)</f>
        <v>0</v>
      </c>
      <c r="P80" s="115">
        <f>SUM(O80:O$109)</f>
        <v>0</v>
      </c>
      <c r="R80" s="120">
        <v>72</v>
      </c>
      <c r="S80" s="119">
        <f t="shared" si="35"/>
        <v>83769.468157886557</v>
      </c>
      <c r="T80" s="119">
        <f t="shared" si="29"/>
        <v>0</v>
      </c>
      <c r="U80" s="118">
        <f t="shared" si="30"/>
        <v>0</v>
      </c>
      <c r="V80" s="117">
        <f t="shared" si="31"/>
        <v>1</v>
      </c>
      <c r="W80" s="116">
        <f t="shared" si="32"/>
        <v>328.53024920101495</v>
      </c>
      <c r="X80" s="116">
        <f>SUM(W80:W$109)</f>
        <v>3994.4041565421999</v>
      </c>
      <c r="Y80" s="116">
        <f>SUM(X80:X$109)</f>
        <v>40701.829883174752</v>
      </c>
      <c r="Z80" s="116">
        <f t="shared" si="33"/>
        <v>0</v>
      </c>
      <c r="AA80" s="116">
        <f>SUM(Z80:Z$109)</f>
        <v>0</v>
      </c>
      <c r="AB80" s="115">
        <f>SUM(AA80:AA$109)</f>
        <v>0</v>
      </c>
    </row>
    <row r="81" spans="2:28">
      <c r="B81" s="123">
        <v>73</v>
      </c>
      <c r="C81" s="149"/>
      <c r="D81" s="148"/>
      <c r="F81" s="120">
        <v>73</v>
      </c>
      <c r="G81" s="119">
        <f t="shared" si="34"/>
        <v>73178.337822947447</v>
      </c>
      <c r="H81" s="119">
        <f t="shared" si="24"/>
        <v>0</v>
      </c>
      <c r="I81" s="121">
        <f t="shared" si="25"/>
        <v>0</v>
      </c>
      <c r="J81" s="117">
        <f t="shared" si="26"/>
        <v>1</v>
      </c>
      <c r="K81" s="116">
        <f t="shared" si="27"/>
        <v>265.73477418713071</v>
      </c>
      <c r="L81" s="116">
        <f>SUM(K81:K$109)</f>
        <v>3202.3906216299138</v>
      </c>
      <c r="M81" s="116">
        <f>SUM(L81:L$109)</f>
        <v>32066.437325009749</v>
      </c>
      <c r="N81" s="116">
        <f t="shared" si="28"/>
        <v>0</v>
      </c>
      <c r="O81" s="116">
        <f>SUM(N81:N$109)</f>
        <v>0</v>
      </c>
      <c r="P81" s="115">
        <f>SUM(O81:O$109)</f>
        <v>0</v>
      </c>
      <c r="R81" s="120">
        <v>73</v>
      </c>
      <c r="S81" s="119">
        <f t="shared" si="35"/>
        <v>83769.468157886557</v>
      </c>
      <c r="T81" s="119">
        <f t="shared" si="29"/>
        <v>0</v>
      </c>
      <c r="U81" s="118">
        <f t="shared" si="30"/>
        <v>0</v>
      </c>
      <c r="V81" s="117">
        <f t="shared" si="31"/>
        <v>1</v>
      </c>
      <c r="W81" s="116">
        <f t="shared" si="32"/>
        <v>304.19467518612493</v>
      </c>
      <c r="X81" s="116">
        <f>SUM(W81:W$109)</f>
        <v>3665.8739073411853</v>
      </c>
      <c r="Y81" s="116">
        <f>SUM(X81:X$109)</f>
        <v>36707.425726632544</v>
      </c>
      <c r="Z81" s="116">
        <f t="shared" si="33"/>
        <v>0</v>
      </c>
      <c r="AA81" s="116">
        <f>SUM(Z81:Z$109)</f>
        <v>0</v>
      </c>
      <c r="AB81" s="115">
        <f>SUM(AA81:AA$109)</f>
        <v>0</v>
      </c>
    </row>
    <row r="82" spans="2:28">
      <c r="B82" s="123">
        <v>74</v>
      </c>
      <c r="C82" s="149"/>
      <c r="D82" s="148"/>
      <c r="F82" s="120">
        <v>74</v>
      </c>
      <c r="G82" s="119">
        <f t="shared" si="34"/>
        <v>73178.337822947447</v>
      </c>
      <c r="H82" s="119">
        <f t="shared" si="24"/>
        <v>0</v>
      </c>
      <c r="I82" s="121">
        <f t="shared" si="25"/>
        <v>0</v>
      </c>
      <c r="J82" s="117">
        <f t="shared" si="26"/>
        <v>1</v>
      </c>
      <c r="K82" s="116">
        <f t="shared" si="27"/>
        <v>246.05071683993583</v>
      </c>
      <c r="L82" s="116">
        <f>SUM(K82:K$109)</f>
        <v>2936.6558474427825</v>
      </c>
      <c r="M82" s="116">
        <f>SUM(L82:L$109)</f>
        <v>28864.046703379834</v>
      </c>
      <c r="N82" s="116">
        <f t="shared" si="28"/>
        <v>0</v>
      </c>
      <c r="O82" s="116">
        <f>SUM(N82:N$109)</f>
        <v>0</v>
      </c>
      <c r="P82" s="115">
        <f>SUM(O82:O$109)</f>
        <v>0</v>
      </c>
      <c r="R82" s="120">
        <v>74</v>
      </c>
      <c r="S82" s="119">
        <f t="shared" si="35"/>
        <v>83769.468157886557</v>
      </c>
      <c r="T82" s="119">
        <f t="shared" si="29"/>
        <v>0</v>
      </c>
      <c r="U82" s="118">
        <f t="shared" si="30"/>
        <v>0</v>
      </c>
      <c r="V82" s="117">
        <f t="shared" si="31"/>
        <v>1</v>
      </c>
      <c r="W82" s="116">
        <f t="shared" si="32"/>
        <v>281.66173628344899</v>
      </c>
      <c r="X82" s="116">
        <f>SUM(W82:W$109)</f>
        <v>3361.6792321550602</v>
      </c>
      <c r="Y82" s="116">
        <f>SUM(X82:X$109)</f>
        <v>33041.551819291359</v>
      </c>
      <c r="Z82" s="116">
        <f t="shared" si="33"/>
        <v>0</v>
      </c>
      <c r="AA82" s="116">
        <f>SUM(Z82:Z$109)</f>
        <v>0</v>
      </c>
      <c r="AB82" s="115">
        <f>SUM(AA82:AA$109)</f>
        <v>0</v>
      </c>
    </row>
    <row r="83" spans="2:28">
      <c r="B83" s="123">
        <v>75</v>
      </c>
      <c r="C83" s="149"/>
      <c r="D83" s="148"/>
      <c r="F83" s="120">
        <v>75</v>
      </c>
      <c r="G83" s="119">
        <f t="shared" si="34"/>
        <v>73178.337822947447</v>
      </c>
      <c r="H83" s="119">
        <f t="shared" si="24"/>
        <v>0</v>
      </c>
      <c r="I83" s="121">
        <f t="shared" si="25"/>
        <v>0</v>
      </c>
      <c r="J83" s="117">
        <f t="shared" si="26"/>
        <v>1</v>
      </c>
      <c r="K83" s="116">
        <f t="shared" si="27"/>
        <v>227.82473781475537</v>
      </c>
      <c r="L83" s="116">
        <f>SUM(K83:K$109)</f>
        <v>2690.6051306028471</v>
      </c>
      <c r="M83" s="116">
        <f>SUM(L83:L$109)</f>
        <v>25927.39085593705</v>
      </c>
      <c r="N83" s="116">
        <f t="shared" si="28"/>
        <v>0</v>
      </c>
      <c r="O83" s="116">
        <f>SUM(N83:N$109)</f>
        <v>0</v>
      </c>
      <c r="P83" s="115">
        <f>SUM(O83:O$109)</f>
        <v>0</v>
      </c>
      <c r="R83" s="120">
        <v>75</v>
      </c>
      <c r="S83" s="119">
        <f t="shared" si="35"/>
        <v>83769.468157886557</v>
      </c>
      <c r="T83" s="119">
        <f t="shared" si="29"/>
        <v>0</v>
      </c>
      <c r="U83" s="118">
        <f t="shared" si="30"/>
        <v>0</v>
      </c>
      <c r="V83" s="117">
        <f t="shared" si="31"/>
        <v>1</v>
      </c>
      <c r="W83" s="116">
        <f t="shared" si="32"/>
        <v>260.79790396615647</v>
      </c>
      <c r="X83" s="116">
        <f>SUM(W83:W$109)</f>
        <v>3080.0174958716107</v>
      </c>
      <c r="Y83" s="116">
        <f>SUM(X83:X$109)</f>
        <v>29679.872587136295</v>
      </c>
      <c r="Z83" s="116">
        <f t="shared" si="33"/>
        <v>0</v>
      </c>
      <c r="AA83" s="116">
        <f>SUM(Z83:Z$109)</f>
        <v>0</v>
      </c>
      <c r="AB83" s="115">
        <f>SUM(AA83:AA$109)</f>
        <v>0</v>
      </c>
    </row>
    <row r="84" spans="2:28">
      <c r="B84" s="123">
        <v>76</v>
      </c>
      <c r="C84" s="149"/>
      <c r="D84" s="148"/>
      <c r="F84" s="120">
        <v>76</v>
      </c>
      <c r="G84" s="119">
        <f t="shared" si="34"/>
        <v>73178.337822947447</v>
      </c>
      <c r="H84" s="119">
        <f t="shared" si="24"/>
        <v>0</v>
      </c>
      <c r="I84" s="121">
        <f t="shared" si="25"/>
        <v>0</v>
      </c>
      <c r="J84" s="117">
        <f t="shared" si="26"/>
        <v>1</v>
      </c>
      <c r="K84" s="116">
        <f t="shared" si="27"/>
        <v>210.94883130995868</v>
      </c>
      <c r="L84" s="116">
        <f>SUM(K84:K$109)</f>
        <v>2462.7803927880918</v>
      </c>
      <c r="M84" s="116">
        <f>SUM(L84:L$109)</f>
        <v>23236.785725334204</v>
      </c>
      <c r="N84" s="116">
        <f t="shared" si="28"/>
        <v>0</v>
      </c>
      <c r="O84" s="116">
        <f>SUM(N84:N$109)</f>
        <v>0</v>
      </c>
      <c r="P84" s="115">
        <f>SUM(O84:O$109)</f>
        <v>0</v>
      </c>
      <c r="R84" s="120">
        <v>76</v>
      </c>
      <c r="S84" s="119">
        <f t="shared" si="35"/>
        <v>83769.468157886557</v>
      </c>
      <c r="T84" s="119">
        <f t="shared" si="29"/>
        <v>0</v>
      </c>
      <c r="U84" s="118">
        <f t="shared" si="30"/>
        <v>0</v>
      </c>
      <c r="V84" s="117">
        <f t="shared" si="31"/>
        <v>1</v>
      </c>
      <c r="W84" s="116">
        <f t="shared" si="32"/>
        <v>241.47954070940412</v>
      </c>
      <c r="X84" s="116">
        <f>SUM(W84:W$109)</f>
        <v>2819.2195919054543</v>
      </c>
      <c r="Y84" s="116">
        <f>SUM(X84:X$109)</f>
        <v>26599.855091264686</v>
      </c>
      <c r="Z84" s="116">
        <f t="shared" si="33"/>
        <v>0</v>
      </c>
      <c r="AA84" s="116">
        <f>SUM(Z84:Z$109)</f>
        <v>0</v>
      </c>
      <c r="AB84" s="115">
        <f>SUM(AA84:AA$109)</f>
        <v>0</v>
      </c>
    </row>
    <row r="85" spans="2:28">
      <c r="B85" s="123">
        <v>77</v>
      </c>
      <c r="C85" s="149"/>
      <c r="D85" s="148"/>
      <c r="F85" s="120">
        <v>77</v>
      </c>
      <c r="G85" s="119">
        <f t="shared" si="34"/>
        <v>73178.337822947447</v>
      </c>
      <c r="H85" s="119">
        <f t="shared" si="24"/>
        <v>0</v>
      </c>
      <c r="I85" s="121">
        <f t="shared" si="25"/>
        <v>0</v>
      </c>
      <c r="J85" s="117">
        <f t="shared" si="26"/>
        <v>1</v>
      </c>
      <c r="K85" s="116">
        <f t="shared" si="27"/>
        <v>195.32299195366539</v>
      </c>
      <c r="L85" s="116">
        <f>SUM(K85:K$109)</f>
        <v>2251.8315614781341</v>
      </c>
      <c r="M85" s="116">
        <f>SUM(L85:L$109)</f>
        <v>20774.005332546109</v>
      </c>
      <c r="N85" s="116">
        <f t="shared" si="28"/>
        <v>0</v>
      </c>
      <c r="O85" s="116">
        <f>SUM(N85:N$109)</f>
        <v>0</v>
      </c>
      <c r="P85" s="115">
        <f>SUM(O85:O$109)</f>
        <v>0</v>
      </c>
      <c r="R85" s="120">
        <v>77</v>
      </c>
      <c r="S85" s="119">
        <f t="shared" si="35"/>
        <v>83769.468157886557</v>
      </c>
      <c r="T85" s="119">
        <f t="shared" si="29"/>
        <v>0</v>
      </c>
      <c r="U85" s="118">
        <f t="shared" si="30"/>
        <v>0</v>
      </c>
      <c r="V85" s="117">
        <f t="shared" si="31"/>
        <v>1</v>
      </c>
      <c r="W85" s="116">
        <f t="shared" si="32"/>
        <v>223.59216732352229</v>
      </c>
      <c r="X85" s="116">
        <f>SUM(W85:W$109)</f>
        <v>2577.7400511960504</v>
      </c>
      <c r="Y85" s="116">
        <f>SUM(X85:X$109)</f>
        <v>23780.635499359232</v>
      </c>
      <c r="Z85" s="116">
        <f t="shared" si="33"/>
        <v>0</v>
      </c>
      <c r="AA85" s="116">
        <f>SUM(Z85:Z$109)</f>
        <v>0</v>
      </c>
      <c r="AB85" s="115">
        <f>SUM(AA85:AA$109)</f>
        <v>0</v>
      </c>
    </row>
    <row r="86" spans="2:28">
      <c r="B86" s="123">
        <v>78</v>
      </c>
      <c r="C86" s="149"/>
      <c r="D86" s="148"/>
      <c r="F86" s="120">
        <v>78</v>
      </c>
      <c r="G86" s="119">
        <f t="shared" si="34"/>
        <v>73178.337822947447</v>
      </c>
      <c r="H86" s="119">
        <f t="shared" si="24"/>
        <v>0</v>
      </c>
      <c r="I86" s="121">
        <f t="shared" si="25"/>
        <v>0</v>
      </c>
      <c r="J86" s="117">
        <f t="shared" si="26"/>
        <v>1</v>
      </c>
      <c r="K86" s="116">
        <f t="shared" si="27"/>
        <v>180.85462217931979</v>
      </c>
      <c r="L86" s="116">
        <f>SUM(K86:K$109)</f>
        <v>2056.5085695244684</v>
      </c>
      <c r="M86" s="116">
        <f>SUM(L86:L$109)</f>
        <v>18522.173771067977</v>
      </c>
      <c r="N86" s="116">
        <f t="shared" si="28"/>
        <v>0</v>
      </c>
      <c r="O86" s="116">
        <f>SUM(N86:N$109)</f>
        <v>0</v>
      </c>
      <c r="P86" s="115">
        <f>SUM(O86:O$109)</f>
        <v>0</v>
      </c>
      <c r="R86" s="120">
        <v>78</v>
      </c>
      <c r="S86" s="119">
        <f t="shared" si="35"/>
        <v>83769.468157886557</v>
      </c>
      <c r="T86" s="119">
        <f t="shared" si="29"/>
        <v>0</v>
      </c>
      <c r="U86" s="118">
        <f t="shared" si="30"/>
        <v>0</v>
      </c>
      <c r="V86" s="117">
        <f t="shared" si="31"/>
        <v>1</v>
      </c>
      <c r="W86" s="116">
        <f t="shared" si="32"/>
        <v>207.02978455881691</v>
      </c>
      <c r="X86" s="116">
        <f>SUM(W86:W$109)</f>
        <v>2354.1478838725284</v>
      </c>
      <c r="Y86" s="116">
        <f>SUM(X86:X$109)</f>
        <v>21202.895448163184</v>
      </c>
      <c r="Z86" s="116">
        <f t="shared" si="33"/>
        <v>0</v>
      </c>
      <c r="AA86" s="116">
        <f>SUM(Z86:Z$109)</f>
        <v>0</v>
      </c>
      <c r="AB86" s="115">
        <f>SUM(AA86:AA$109)</f>
        <v>0</v>
      </c>
    </row>
    <row r="87" spans="2:28">
      <c r="B87" s="123">
        <v>79</v>
      </c>
      <c r="C87" s="149"/>
      <c r="D87" s="148"/>
      <c r="F87" s="120">
        <v>79</v>
      </c>
      <c r="G87" s="119">
        <f t="shared" si="34"/>
        <v>73178.337822947447</v>
      </c>
      <c r="H87" s="119">
        <f t="shared" si="24"/>
        <v>0</v>
      </c>
      <c r="I87" s="121">
        <f t="shared" si="25"/>
        <v>0</v>
      </c>
      <c r="J87" s="117">
        <f t="shared" si="26"/>
        <v>1</v>
      </c>
      <c r="K87" s="116">
        <f t="shared" si="27"/>
        <v>167.45798349937016</v>
      </c>
      <c r="L87" s="116">
        <f>SUM(K87:K$109)</f>
        <v>1875.6539473451487</v>
      </c>
      <c r="M87" s="116">
        <f>SUM(L87:L$109)</f>
        <v>16465.66520154351</v>
      </c>
      <c r="N87" s="116">
        <f t="shared" si="28"/>
        <v>0</v>
      </c>
      <c r="O87" s="116">
        <f>SUM(N87:N$109)</f>
        <v>0</v>
      </c>
      <c r="P87" s="115">
        <f>SUM(O87:O$109)</f>
        <v>0</v>
      </c>
      <c r="R87" s="120">
        <v>79</v>
      </c>
      <c r="S87" s="119">
        <f t="shared" si="35"/>
        <v>83769.468157886557</v>
      </c>
      <c r="T87" s="119">
        <f t="shared" si="29"/>
        <v>0</v>
      </c>
      <c r="U87" s="118">
        <f t="shared" si="30"/>
        <v>0</v>
      </c>
      <c r="V87" s="117">
        <f t="shared" si="31"/>
        <v>1</v>
      </c>
      <c r="W87" s="116">
        <f t="shared" si="32"/>
        <v>191.6942449618675</v>
      </c>
      <c r="X87" s="116">
        <f>SUM(W87:W$109)</f>
        <v>2147.1180993137118</v>
      </c>
      <c r="Y87" s="116">
        <f>SUM(X87:X$109)</f>
        <v>18848.747564290661</v>
      </c>
      <c r="Z87" s="116">
        <f t="shared" si="33"/>
        <v>0</v>
      </c>
      <c r="AA87" s="116">
        <f>SUM(Z87:Z$109)</f>
        <v>0</v>
      </c>
      <c r="AB87" s="115">
        <f>SUM(AA87:AA$109)</f>
        <v>0</v>
      </c>
    </row>
    <row r="88" spans="2:28">
      <c r="B88" s="123">
        <v>80</v>
      </c>
      <c r="C88" s="149"/>
      <c r="D88" s="148"/>
      <c r="F88" s="120">
        <v>80</v>
      </c>
      <c r="G88" s="119">
        <f t="shared" si="34"/>
        <v>73178.337822947447</v>
      </c>
      <c r="H88" s="119">
        <f t="shared" si="24"/>
        <v>0</v>
      </c>
      <c r="I88" s="121">
        <f t="shared" si="25"/>
        <v>0</v>
      </c>
      <c r="J88" s="117">
        <f t="shared" si="26"/>
        <v>1</v>
      </c>
      <c r="K88" s="116">
        <f t="shared" si="27"/>
        <v>155.05368842534276</v>
      </c>
      <c r="L88" s="116">
        <f>SUM(K88:K$109)</f>
        <v>1708.1959638457786</v>
      </c>
      <c r="M88" s="116">
        <f>SUM(L88:L$109)</f>
        <v>14590.011254198364</v>
      </c>
      <c r="N88" s="116">
        <f t="shared" si="28"/>
        <v>0</v>
      </c>
      <c r="O88" s="116">
        <f>SUM(N88:N$109)</f>
        <v>0</v>
      </c>
      <c r="P88" s="115">
        <f>SUM(O88:O$109)</f>
        <v>0</v>
      </c>
      <c r="R88" s="120">
        <v>80</v>
      </c>
      <c r="S88" s="119">
        <f t="shared" si="35"/>
        <v>83769.468157886557</v>
      </c>
      <c r="T88" s="119">
        <f t="shared" si="29"/>
        <v>0</v>
      </c>
      <c r="U88" s="118">
        <f t="shared" si="30"/>
        <v>0</v>
      </c>
      <c r="V88" s="117">
        <f t="shared" si="31"/>
        <v>1</v>
      </c>
      <c r="W88" s="116">
        <f t="shared" si="32"/>
        <v>177.49467126098844</v>
      </c>
      <c r="X88" s="116">
        <f>SUM(W88:W$109)</f>
        <v>1955.4238543518445</v>
      </c>
      <c r="Y88" s="116">
        <f>SUM(X88:X$109)</f>
        <v>16701.629464976952</v>
      </c>
      <c r="Z88" s="116">
        <f t="shared" si="33"/>
        <v>0</v>
      </c>
      <c r="AA88" s="116">
        <f>SUM(Z88:Z$109)</f>
        <v>0</v>
      </c>
      <c r="AB88" s="115">
        <f>SUM(AA88:AA$109)</f>
        <v>0</v>
      </c>
    </row>
    <row r="89" spans="2:28">
      <c r="B89" s="123">
        <v>81</v>
      </c>
      <c r="C89" s="149"/>
      <c r="D89" s="148"/>
      <c r="F89" s="120">
        <v>81</v>
      </c>
      <c r="G89" s="119">
        <f t="shared" si="34"/>
        <v>73178.337822947447</v>
      </c>
      <c r="H89" s="119">
        <f t="shared" si="24"/>
        <v>0</v>
      </c>
      <c r="I89" s="121">
        <f t="shared" si="25"/>
        <v>0</v>
      </c>
      <c r="J89" s="117">
        <f t="shared" si="26"/>
        <v>1</v>
      </c>
      <c r="K89" s="116">
        <f t="shared" si="27"/>
        <v>143.56823002346547</v>
      </c>
      <c r="L89" s="116">
        <f>SUM(K89:K$109)</f>
        <v>1553.1422754204357</v>
      </c>
      <c r="M89" s="116">
        <f>SUM(L89:L$109)</f>
        <v>12881.815290352586</v>
      </c>
      <c r="N89" s="116">
        <f t="shared" si="28"/>
        <v>0</v>
      </c>
      <c r="O89" s="116">
        <f>SUM(N89:N$109)</f>
        <v>0</v>
      </c>
      <c r="P89" s="115">
        <f>SUM(O89:O$109)</f>
        <v>0</v>
      </c>
      <c r="R89" s="120">
        <v>81</v>
      </c>
      <c r="S89" s="119">
        <f t="shared" si="35"/>
        <v>83769.468157886557</v>
      </c>
      <c r="T89" s="119">
        <f t="shared" si="29"/>
        <v>0</v>
      </c>
      <c r="U89" s="118">
        <f t="shared" si="30"/>
        <v>0</v>
      </c>
      <c r="V89" s="117">
        <f t="shared" si="31"/>
        <v>1</v>
      </c>
      <c r="W89" s="116">
        <f t="shared" si="32"/>
        <v>164.3469178342485</v>
      </c>
      <c r="X89" s="116">
        <f>SUM(W89:W$109)</f>
        <v>1777.929183090856</v>
      </c>
      <c r="Y89" s="116">
        <f>SUM(X89:X$109)</f>
        <v>14746.205610625108</v>
      </c>
      <c r="Z89" s="116">
        <f t="shared" si="33"/>
        <v>0</v>
      </c>
      <c r="AA89" s="116">
        <f>SUM(Z89:Z$109)</f>
        <v>0</v>
      </c>
      <c r="AB89" s="115">
        <f>SUM(AA89:AA$109)</f>
        <v>0</v>
      </c>
    </row>
    <row r="90" spans="2:28">
      <c r="B90" s="123">
        <v>82</v>
      </c>
      <c r="C90" s="149"/>
      <c r="D90" s="148"/>
      <c r="F90" s="120">
        <v>82</v>
      </c>
      <c r="G90" s="119">
        <f t="shared" si="34"/>
        <v>73178.337822947447</v>
      </c>
      <c r="H90" s="119">
        <f t="shared" si="24"/>
        <v>0</v>
      </c>
      <c r="I90" s="121">
        <f t="shared" si="25"/>
        <v>0</v>
      </c>
      <c r="J90" s="117">
        <f t="shared" si="26"/>
        <v>1</v>
      </c>
      <c r="K90" s="116">
        <f t="shared" si="27"/>
        <v>132.93354631802356</v>
      </c>
      <c r="L90" s="116">
        <f>SUM(K90:K$109)</f>
        <v>1409.5740453969702</v>
      </c>
      <c r="M90" s="116">
        <f>SUM(L90:L$109)</f>
        <v>11328.67301493215</v>
      </c>
      <c r="N90" s="116">
        <f t="shared" si="28"/>
        <v>0</v>
      </c>
      <c r="O90" s="116">
        <f>SUM(N90:N$109)</f>
        <v>0</v>
      </c>
      <c r="P90" s="115">
        <f>SUM(O90:O$109)</f>
        <v>0</v>
      </c>
      <c r="R90" s="120">
        <v>82</v>
      </c>
      <c r="S90" s="119">
        <f t="shared" si="35"/>
        <v>83769.468157886557</v>
      </c>
      <c r="T90" s="119">
        <f t="shared" si="29"/>
        <v>0</v>
      </c>
      <c r="U90" s="118">
        <f t="shared" si="30"/>
        <v>0</v>
      </c>
      <c r="V90" s="117">
        <f t="shared" si="31"/>
        <v>1</v>
      </c>
      <c r="W90" s="116">
        <f t="shared" si="32"/>
        <v>152.17307206874861</v>
      </c>
      <c r="X90" s="116">
        <f>SUM(W90:W$109)</f>
        <v>1613.5822652566076</v>
      </c>
      <c r="Y90" s="116">
        <f>SUM(X90:X$109)</f>
        <v>12968.276427534252</v>
      </c>
      <c r="Z90" s="116">
        <f t="shared" si="33"/>
        <v>0</v>
      </c>
      <c r="AA90" s="116">
        <f>SUM(Z90:Z$109)</f>
        <v>0</v>
      </c>
      <c r="AB90" s="115">
        <f>SUM(AA90:AA$109)</f>
        <v>0</v>
      </c>
    </row>
    <row r="91" spans="2:28">
      <c r="B91" s="123">
        <v>83</v>
      </c>
      <c r="C91" s="149"/>
      <c r="D91" s="148"/>
      <c r="F91" s="120">
        <v>83</v>
      </c>
      <c r="G91" s="119">
        <f t="shared" si="34"/>
        <v>73178.337822947447</v>
      </c>
      <c r="H91" s="119">
        <f t="shared" si="24"/>
        <v>0</v>
      </c>
      <c r="I91" s="121">
        <f t="shared" si="25"/>
        <v>0</v>
      </c>
      <c r="J91" s="117">
        <f t="shared" si="26"/>
        <v>1</v>
      </c>
      <c r="K91" s="116">
        <f t="shared" si="27"/>
        <v>123.08661696113293</v>
      </c>
      <c r="L91" s="116">
        <f>SUM(K91:K$109)</f>
        <v>1276.6404990789465</v>
      </c>
      <c r="M91" s="116">
        <f>SUM(L91:L$109)</f>
        <v>9919.09896953518</v>
      </c>
      <c r="N91" s="116">
        <f t="shared" si="28"/>
        <v>0</v>
      </c>
      <c r="O91" s="116">
        <f>SUM(N91:N$109)</f>
        <v>0</v>
      </c>
      <c r="P91" s="115">
        <f>SUM(O91:O$109)</f>
        <v>0</v>
      </c>
      <c r="R91" s="120">
        <v>83</v>
      </c>
      <c r="S91" s="119">
        <f t="shared" si="35"/>
        <v>83769.468157886557</v>
      </c>
      <c r="T91" s="119">
        <f t="shared" si="29"/>
        <v>0</v>
      </c>
      <c r="U91" s="118">
        <f t="shared" si="30"/>
        <v>0</v>
      </c>
      <c r="V91" s="117">
        <f t="shared" si="31"/>
        <v>1</v>
      </c>
      <c r="W91" s="116">
        <f t="shared" si="32"/>
        <v>140.90099265624869</v>
      </c>
      <c r="X91" s="116">
        <f>SUM(W91:W$109)</f>
        <v>1461.4091931878593</v>
      </c>
      <c r="Y91" s="116">
        <f>SUM(X91:X$109)</f>
        <v>11354.694162277643</v>
      </c>
      <c r="Z91" s="116">
        <f t="shared" si="33"/>
        <v>0</v>
      </c>
      <c r="AA91" s="116">
        <f>SUM(Z91:Z$109)</f>
        <v>0</v>
      </c>
      <c r="AB91" s="115">
        <f>SUM(AA91:AA$109)</f>
        <v>0</v>
      </c>
    </row>
    <row r="92" spans="2:28">
      <c r="B92" s="123">
        <v>84</v>
      </c>
      <c r="C92" s="149"/>
      <c r="D92" s="148"/>
      <c r="F92" s="120">
        <v>84</v>
      </c>
      <c r="G92" s="119">
        <f t="shared" si="34"/>
        <v>73178.337822947447</v>
      </c>
      <c r="H92" s="119">
        <f t="shared" si="24"/>
        <v>0</v>
      </c>
      <c r="I92" s="121">
        <f t="shared" si="25"/>
        <v>0</v>
      </c>
      <c r="J92" s="117">
        <f t="shared" si="26"/>
        <v>1</v>
      </c>
      <c r="K92" s="116">
        <f t="shared" si="27"/>
        <v>113.9690897788268</v>
      </c>
      <c r="L92" s="116">
        <f>SUM(K92:K$109)</f>
        <v>1153.5538821178134</v>
      </c>
      <c r="M92" s="116">
        <f>SUM(L92:L$109)</f>
        <v>8642.458470456233</v>
      </c>
      <c r="N92" s="116">
        <f t="shared" si="28"/>
        <v>0</v>
      </c>
      <c r="O92" s="116">
        <f>SUM(N92:N$109)</f>
        <v>0</v>
      </c>
      <c r="P92" s="115">
        <f>SUM(O92:O$109)</f>
        <v>0</v>
      </c>
      <c r="R92" s="120">
        <v>84</v>
      </c>
      <c r="S92" s="119">
        <f t="shared" si="35"/>
        <v>83769.468157886557</v>
      </c>
      <c r="T92" s="119">
        <f t="shared" si="29"/>
        <v>0</v>
      </c>
      <c r="U92" s="118">
        <f t="shared" si="30"/>
        <v>0</v>
      </c>
      <c r="V92" s="117">
        <f t="shared" si="31"/>
        <v>1</v>
      </c>
      <c r="W92" s="116">
        <f t="shared" si="32"/>
        <v>130.46388208911918</v>
      </c>
      <c r="X92" s="116">
        <f>SUM(W92:W$109)</f>
        <v>1320.5082005316106</v>
      </c>
      <c r="Y92" s="116">
        <f>SUM(X92:X$109)</f>
        <v>9893.284969089782</v>
      </c>
      <c r="Z92" s="116">
        <f t="shared" si="33"/>
        <v>0</v>
      </c>
      <c r="AA92" s="116">
        <f>SUM(Z92:Z$109)</f>
        <v>0</v>
      </c>
      <c r="AB92" s="115">
        <f>SUM(AA92:AA$109)</f>
        <v>0</v>
      </c>
    </row>
    <row r="93" spans="2:28">
      <c r="B93" s="123">
        <v>85</v>
      </c>
      <c r="C93" s="149"/>
      <c r="D93" s="148"/>
      <c r="F93" s="120">
        <v>85</v>
      </c>
      <c r="G93" s="119">
        <f t="shared" si="34"/>
        <v>73178.337822947447</v>
      </c>
      <c r="H93" s="119">
        <f t="shared" si="24"/>
        <v>0</v>
      </c>
      <c r="I93" s="121">
        <f t="shared" si="25"/>
        <v>0</v>
      </c>
      <c r="J93" s="117">
        <f t="shared" si="26"/>
        <v>1</v>
      </c>
      <c r="K93" s="116">
        <f t="shared" si="27"/>
        <v>105.52693498039515</v>
      </c>
      <c r="L93" s="116">
        <f>SUM(K93:K$109)</f>
        <v>1039.584792338987</v>
      </c>
      <c r="M93" s="116">
        <f>SUM(L93:L$109)</f>
        <v>7488.9045883384169</v>
      </c>
      <c r="N93" s="116">
        <f t="shared" si="28"/>
        <v>0</v>
      </c>
      <c r="O93" s="116">
        <f>SUM(N93:N$109)</f>
        <v>0</v>
      </c>
      <c r="P93" s="115">
        <f>SUM(O93:O$109)</f>
        <v>0</v>
      </c>
      <c r="R93" s="120">
        <v>85</v>
      </c>
      <c r="S93" s="119">
        <f t="shared" si="35"/>
        <v>83769.468157886557</v>
      </c>
      <c r="T93" s="119">
        <f t="shared" si="29"/>
        <v>0</v>
      </c>
      <c r="U93" s="118">
        <f t="shared" si="30"/>
        <v>0</v>
      </c>
      <c r="V93" s="117">
        <f t="shared" si="31"/>
        <v>1</v>
      </c>
      <c r="W93" s="116">
        <f t="shared" si="32"/>
        <v>120.79989082325847</v>
      </c>
      <c r="X93" s="116">
        <f>SUM(W93:W$109)</f>
        <v>1190.0443184424914</v>
      </c>
      <c r="Y93" s="116">
        <f>SUM(X93:X$109)</f>
        <v>8572.7767685581712</v>
      </c>
      <c r="Z93" s="116">
        <f t="shared" si="33"/>
        <v>0</v>
      </c>
      <c r="AA93" s="116">
        <f>SUM(Z93:Z$109)</f>
        <v>0</v>
      </c>
      <c r="AB93" s="115">
        <f>SUM(AA93:AA$109)</f>
        <v>0</v>
      </c>
    </row>
    <row r="94" spans="2:28">
      <c r="B94" s="123">
        <v>86</v>
      </c>
      <c r="C94" s="149"/>
      <c r="D94" s="148"/>
      <c r="F94" s="120">
        <v>86</v>
      </c>
      <c r="G94" s="119">
        <f t="shared" si="34"/>
        <v>73178.337822947447</v>
      </c>
      <c r="H94" s="119">
        <f t="shared" si="24"/>
        <v>0</v>
      </c>
      <c r="I94" s="121">
        <f t="shared" si="25"/>
        <v>0</v>
      </c>
      <c r="J94" s="117">
        <f t="shared" si="26"/>
        <v>1</v>
      </c>
      <c r="K94" s="116">
        <f t="shared" si="27"/>
        <v>97.710124981847358</v>
      </c>
      <c r="L94" s="116">
        <f>SUM(K94:K$109)</f>
        <v>934.05785735859183</v>
      </c>
      <c r="M94" s="116">
        <f>SUM(L94:L$109)</f>
        <v>6449.3197959994304</v>
      </c>
      <c r="N94" s="116">
        <f t="shared" si="28"/>
        <v>0</v>
      </c>
      <c r="O94" s="116">
        <f>SUM(N94:N$109)</f>
        <v>0</v>
      </c>
      <c r="P94" s="115">
        <f>SUM(O94:O$109)</f>
        <v>0</v>
      </c>
      <c r="R94" s="120">
        <v>86</v>
      </c>
      <c r="S94" s="119">
        <f t="shared" si="35"/>
        <v>83769.468157886557</v>
      </c>
      <c r="T94" s="119">
        <f t="shared" si="29"/>
        <v>0</v>
      </c>
      <c r="U94" s="118">
        <f t="shared" si="30"/>
        <v>0</v>
      </c>
      <c r="V94" s="117">
        <f t="shared" si="31"/>
        <v>1</v>
      </c>
      <c r="W94" s="116">
        <f t="shared" si="32"/>
        <v>111.85175076227635</v>
      </c>
      <c r="X94" s="116">
        <f>SUM(W94:W$109)</f>
        <v>1069.2444276192327</v>
      </c>
      <c r="Y94" s="116">
        <f>SUM(X94:X$109)</f>
        <v>7382.7324501156809</v>
      </c>
      <c r="Z94" s="116">
        <f t="shared" si="33"/>
        <v>0</v>
      </c>
      <c r="AA94" s="116">
        <f>SUM(Z94:Z$109)</f>
        <v>0</v>
      </c>
      <c r="AB94" s="115">
        <f>SUM(AA94:AA$109)</f>
        <v>0</v>
      </c>
    </row>
    <row r="95" spans="2:28">
      <c r="B95" s="123">
        <v>87</v>
      </c>
      <c r="C95" s="149"/>
      <c r="D95" s="148"/>
      <c r="F95" s="120">
        <v>87</v>
      </c>
      <c r="G95" s="119">
        <f t="shared" si="34"/>
        <v>73178.337822947447</v>
      </c>
      <c r="H95" s="119">
        <f t="shared" si="24"/>
        <v>0</v>
      </c>
      <c r="I95" s="121">
        <f t="shared" si="25"/>
        <v>0</v>
      </c>
      <c r="J95" s="117">
        <f t="shared" si="26"/>
        <v>1</v>
      </c>
      <c r="K95" s="116">
        <f t="shared" si="27"/>
        <v>90.472337946154951</v>
      </c>
      <c r="L95" s="116">
        <f>SUM(K95:K$109)</f>
        <v>836.34773237674437</v>
      </c>
      <c r="M95" s="116">
        <f>SUM(L95:L$109)</f>
        <v>5515.2619386408396</v>
      </c>
      <c r="N95" s="116">
        <f t="shared" si="28"/>
        <v>0</v>
      </c>
      <c r="O95" s="116">
        <f>SUM(N95:N$109)</f>
        <v>0</v>
      </c>
      <c r="P95" s="115">
        <f>SUM(O95:O$109)</f>
        <v>0</v>
      </c>
      <c r="R95" s="120">
        <v>87</v>
      </c>
      <c r="S95" s="119">
        <f t="shared" si="35"/>
        <v>83769.468157886557</v>
      </c>
      <c r="T95" s="119">
        <f t="shared" si="29"/>
        <v>0</v>
      </c>
      <c r="U95" s="118">
        <f t="shared" si="30"/>
        <v>0</v>
      </c>
      <c r="V95" s="117">
        <f t="shared" si="31"/>
        <v>1</v>
      </c>
      <c r="W95" s="116">
        <f t="shared" si="32"/>
        <v>103.5664358909966</v>
      </c>
      <c r="X95" s="116">
        <f>SUM(W95:W$109)</f>
        <v>957.3926768569562</v>
      </c>
      <c r="Y95" s="116">
        <f>SUM(X95:X$109)</f>
        <v>6313.4880224964481</v>
      </c>
      <c r="Z95" s="116">
        <f t="shared" si="33"/>
        <v>0</v>
      </c>
      <c r="AA95" s="116">
        <f>SUM(Z95:Z$109)</f>
        <v>0</v>
      </c>
      <c r="AB95" s="115">
        <f>SUM(AA95:AA$109)</f>
        <v>0</v>
      </c>
    </row>
    <row r="96" spans="2:28">
      <c r="B96" s="123">
        <v>88</v>
      </c>
      <c r="C96" s="149"/>
      <c r="D96" s="148"/>
      <c r="F96" s="120">
        <v>88</v>
      </c>
      <c r="G96" s="119">
        <f t="shared" si="34"/>
        <v>73178.337822947447</v>
      </c>
      <c r="H96" s="119">
        <f t="shared" si="24"/>
        <v>0</v>
      </c>
      <c r="I96" s="121">
        <f t="shared" si="25"/>
        <v>0</v>
      </c>
      <c r="J96" s="117">
        <f t="shared" si="26"/>
        <v>1</v>
      </c>
      <c r="K96" s="116">
        <f t="shared" si="27"/>
        <v>83.770683283476814</v>
      </c>
      <c r="L96" s="116">
        <f>SUM(K96:K$109)</f>
        <v>745.87539443058938</v>
      </c>
      <c r="M96" s="116">
        <f>SUM(L96:L$109)</f>
        <v>4678.9142062640949</v>
      </c>
      <c r="N96" s="116">
        <f t="shared" si="28"/>
        <v>0</v>
      </c>
      <c r="O96" s="116">
        <f>SUM(N96:N$109)</f>
        <v>0</v>
      </c>
      <c r="P96" s="115">
        <f>SUM(O96:O$109)</f>
        <v>0</v>
      </c>
      <c r="R96" s="120">
        <v>88</v>
      </c>
      <c r="S96" s="119">
        <f t="shared" si="35"/>
        <v>83769.468157886557</v>
      </c>
      <c r="T96" s="119">
        <f t="shared" si="29"/>
        <v>0</v>
      </c>
      <c r="U96" s="118">
        <f t="shared" si="30"/>
        <v>0</v>
      </c>
      <c r="V96" s="117">
        <f t="shared" si="31"/>
        <v>1</v>
      </c>
      <c r="W96" s="116">
        <f t="shared" si="32"/>
        <v>95.894848047219085</v>
      </c>
      <c r="X96" s="116">
        <f>SUM(W96:W$109)</f>
        <v>853.82624096595953</v>
      </c>
      <c r="Y96" s="116">
        <f>SUM(X96:X$109)</f>
        <v>5356.0953456394918</v>
      </c>
      <c r="Z96" s="116">
        <f t="shared" si="33"/>
        <v>0</v>
      </c>
      <c r="AA96" s="116">
        <f>SUM(Z96:Z$109)</f>
        <v>0</v>
      </c>
      <c r="AB96" s="115">
        <f>SUM(AA96:AA$109)</f>
        <v>0</v>
      </c>
    </row>
    <row r="97" spans="2:28">
      <c r="B97" s="123">
        <v>89</v>
      </c>
      <c r="C97" s="149"/>
      <c r="D97" s="148"/>
      <c r="F97" s="120">
        <v>89</v>
      </c>
      <c r="G97" s="119">
        <f t="shared" si="34"/>
        <v>73178.337822947447</v>
      </c>
      <c r="H97" s="119">
        <f t="shared" si="24"/>
        <v>0</v>
      </c>
      <c r="I97" s="121">
        <f t="shared" si="25"/>
        <v>0</v>
      </c>
      <c r="J97" s="117">
        <f t="shared" si="26"/>
        <v>1</v>
      </c>
      <c r="K97" s="116">
        <f t="shared" si="27"/>
        <v>77.565447484700741</v>
      </c>
      <c r="L97" s="116">
        <f>SUM(K97:K$109)</f>
        <v>662.10471114711243</v>
      </c>
      <c r="M97" s="116">
        <f>SUM(L97:L$109)</f>
        <v>3933.0388118335063</v>
      </c>
      <c r="N97" s="116">
        <f t="shared" si="28"/>
        <v>0</v>
      </c>
      <c r="O97" s="116">
        <f>SUM(N97:N$109)</f>
        <v>0</v>
      </c>
      <c r="P97" s="115">
        <f>SUM(O97:O$109)</f>
        <v>0</v>
      </c>
      <c r="R97" s="120">
        <v>89</v>
      </c>
      <c r="S97" s="119">
        <f t="shared" si="35"/>
        <v>83769.468157886557</v>
      </c>
      <c r="T97" s="119">
        <f t="shared" si="29"/>
        <v>0</v>
      </c>
      <c r="U97" s="118">
        <f t="shared" si="30"/>
        <v>0</v>
      </c>
      <c r="V97" s="117">
        <f t="shared" si="31"/>
        <v>1</v>
      </c>
      <c r="W97" s="116">
        <f t="shared" si="32"/>
        <v>88.791525969647282</v>
      </c>
      <c r="X97" s="116">
        <f>SUM(W97:W$109)</f>
        <v>757.93139291874047</v>
      </c>
      <c r="Y97" s="116">
        <f>SUM(X97:X$109)</f>
        <v>4502.2691046735326</v>
      </c>
      <c r="Z97" s="116">
        <f t="shared" si="33"/>
        <v>0</v>
      </c>
      <c r="AA97" s="116">
        <f>SUM(Z97:Z$109)</f>
        <v>0</v>
      </c>
      <c r="AB97" s="115">
        <f>SUM(AA97:AA$109)</f>
        <v>0</v>
      </c>
    </row>
    <row r="98" spans="2:28">
      <c r="B98" s="123">
        <v>90</v>
      </c>
      <c r="C98" s="149"/>
      <c r="D98" s="148"/>
      <c r="F98" s="120">
        <v>90</v>
      </c>
      <c r="G98" s="119">
        <f t="shared" si="34"/>
        <v>73178.337822947447</v>
      </c>
      <c r="H98" s="119">
        <f t="shared" si="24"/>
        <v>0</v>
      </c>
      <c r="I98" s="121">
        <f t="shared" si="25"/>
        <v>0</v>
      </c>
      <c r="J98" s="117">
        <f t="shared" si="26"/>
        <v>1</v>
      </c>
      <c r="K98" s="116">
        <f t="shared" si="27"/>
        <v>71.819858782130311</v>
      </c>
      <c r="L98" s="116">
        <f>SUM(K98:K$109)</f>
        <v>584.53926366241183</v>
      </c>
      <c r="M98" s="116">
        <f>SUM(L98:L$109)</f>
        <v>3270.9341006863938</v>
      </c>
      <c r="N98" s="116">
        <f t="shared" si="28"/>
        <v>0</v>
      </c>
      <c r="O98" s="116">
        <f>SUM(N98:N$109)</f>
        <v>0</v>
      </c>
      <c r="P98" s="115">
        <f>SUM(O98:O$109)</f>
        <v>0</v>
      </c>
      <c r="R98" s="120">
        <v>90</v>
      </c>
      <c r="S98" s="119">
        <f t="shared" si="35"/>
        <v>83769.468157886557</v>
      </c>
      <c r="T98" s="119">
        <f t="shared" si="29"/>
        <v>0</v>
      </c>
      <c r="U98" s="118">
        <f t="shared" si="30"/>
        <v>0</v>
      </c>
      <c r="V98" s="117">
        <f t="shared" si="31"/>
        <v>1</v>
      </c>
      <c r="W98" s="116">
        <f t="shared" si="32"/>
        <v>82.214375897821554</v>
      </c>
      <c r="X98" s="116">
        <f>SUM(W98:W$109)</f>
        <v>669.13986694909318</v>
      </c>
      <c r="Y98" s="116">
        <f>SUM(X98:X$109)</f>
        <v>3744.3377117547911</v>
      </c>
      <c r="Z98" s="116">
        <f t="shared" si="33"/>
        <v>0</v>
      </c>
      <c r="AA98" s="116">
        <f>SUM(Z98:Z$109)</f>
        <v>0</v>
      </c>
      <c r="AB98" s="115">
        <f>SUM(AA98:AA$109)</f>
        <v>0</v>
      </c>
    </row>
    <row r="99" spans="2:28">
      <c r="B99" s="123">
        <v>91</v>
      </c>
      <c r="C99" s="149"/>
      <c r="D99" s="148"/>
      <c r="F99" s="120">
        <v>91</v>
      </c>
      <c r="G99" s="119">
        <f t="shared" si="34"/>
        <v>73178.337822947447</v>
      </c>
      <c r="H99" s="119">
        <f t="shared" si="24"/>
        <v>0</v>
      </c>
      <c r="I99" s="121">
        <f t="shared" si="25"/>
        <v>0</v>
      </c>
      <c r="J99" s="117">
        <f t="shared" si="26"/>
        <v>1</v>
      </c>
      <c r="K99" s="116">
        <f t="shared" si="27"/>
        <v>66.499869242713245</v>
      </c>
      <c r="L99" s="116">
        <f>SUM(K99:K$109)</f>
        <v>512.71940488028145</v>
      </c>
      <c r="M99" s="116">
        <f>SUM(L99:L$109)</f>
        <v>2686.3948370239818</v>
      </c>
      <c r="N99" s="116">
        <f t="shared" si="28"/>
        <v>0</v>
      </c>
      <c r="O99" s="116">
        <f>SUM(N99:N$109)</f>
        <v>0</v>
      </c>
      <c r="P99" s="115">
        <f>SUM(O99:O$109)</f>
        <v>0</v>
      </c>
      <c r="R99" s="120">
        <v>91</v>
      </c>
      <c r="S99" s="119">
        <f t="shared" si="35"/>
        <v>83769.468157886557</v>
      </c>
      <c r="T99" s="119">
        <f t="shared" si="29"/>
        <v>0</v>
      </c>
      <c r="U99" s="118">
        <f t="shared" si="30"/>
        <v>0</v>
      </c>
      <c r="V99" s="117">
        <f t="shared" si="31"/>
        <v>1</v>
      </c>
      <c r="W99" s="116">
        <f t="shared" si="32"/>
        <v>76.124422127612547</v>
      </c>
      <c r="X99" s="116">
        <f>SUM(W99:W$109)</f>
        <v>586.92549105127171</v>
      </c>
      <c r="Y99" s="116">
        <f>SUM(X99:X$109)</f>
        <v>3075.1978448056984</v>
      </c>
      <c r="Z99" s="116">
        <f t="shared" si="33"/>
        <v>0</v>
      </c>
      <c r="AA99" s="116">
        <f>SUM(Z99:Z$109)</f>
        <v>0</v>
      </c>
      <c r="AB99" s="115">
        <f>SUM(AA99:AA$109)</f>
        <v>0</v>
      </c>
    </row>
    <row r="100" spans="2:28">
      <c r="B100" s="123">
        <v>92</v>
      </c>
      <c r="C100" s="149"/>
      <c r="D100" s="148"/>
      <c r="F100" s="120">
        <v>92</v>
      </c>
      <c r="G100" s="119">
        <f t="shared" si="34"/>
        <v>73178.337822947447</v>
      </c>
      <c r="H100" s="119">
        <f t="shared" si="24"/>
        <v>0</v>
      </c>
      <c r="I100" s="121">
        <f t="shared" si="25"/>
        <v>0</v>
      </c>
      <c r="J100" s="117">
        <f t="shared" si="26"/>
        <v>1</v>
      </c>
      <c r="K100" s="116">
        <f t="shared" si="27"/>
        <v>61.573953002512269</v>
      </c>
      <c r="L100" s="116">
        <f>SUM(K100:K$109)</f>
        <v>446.21953563756819</v>
      </c>
      <c r="M100" s="116">
        <f>SUM(L100:L$109)</f>
        <v>2173.6754321437002</v>
      </c>
      <c r="N100" s="116">
        <f t="shared" si="28"/>
        <v>0</v>
      </c>
      <c r="O100" s="116">
        <f>SUM(N100:N$109)</f>
        <v>0</v>
      </c>
      <c r="P100" s="115">
        <f>SUM(O100:O$109)</f>
        <v>0</v>
      </c>
      <c r="R100" s="120">
        <v>92</v>
      </c>
      <c r="S100" s="119">
        <f t="shared" si="35"/>
        <v>83769.468157886557</v>
      </c>
      <c r="T100" s="119">
        <f t="shared" si="29"/>
        <v>0</v>
      </c>
      <c r="U100" s="118">
        <f t="shared" si="30"/>
        <v>0</v>
      </c>
      <c r="V100" s="117">
        <f t="shared" si="31"/>
        <v>1</v>
      </c>
      <c r="W100" s="116">
        <f t="shared" si="32"/>
        <v>70.485576044085704</v>
      </c>
      <c r="X100" s="116">
        <f>SUM(W100:W$109)</f>
        <v>510.80106892365922</v>
      </c>
      <c r="Y100" s="116">
        <f>SUM(X100:X$109)</f>
        <v>2488.2723537544266</v>
      </c>
      <c r="Z100" s="116">
        <f t="shared" si="33"/>
        <v>0</v>
      </c>
      <c r="AA100" s="116">
        <f>SUM(Z100:Z$109)</f>
        <v>0</v>
      </c>
      <c r="AB100" s="115">
        <f>SUM(AA100:AA$109)</f>
        <v>0</v>
      </c>
    </row>
    <row r="101" spans="2:28">
      <c r="B101" s="123">
        <v>93</v>
      </c>
      <c r="C101" s="149"/>
      <c r="D101" s="148"/>
      <c r="F101" s="120">
        <v>93</v>
      </c>
      <c r="G101" s="119">
        <f t="shared" si="34"/>
        <v>73178.337822947447</v>
      </c>
      <c r="H101" s="119">
        <f t="shared" si="24"/>
        <v>0</v>
      </c>
      <c r="I101" s="121">
        <f t="shared" si="25"/>
        <v>0</v>
      </c>
      <c r="J101" s="117">
        <f t="shared" si="26"/>
        <v>1</v>
      </c>
      <c r="K101" s="116">
        <f t="shared" si="27"/>
        <v>57.012919446770603</v>
      </c>
      <c r="L101" s="116">
        <f>SUM(K101:K$109)</f>
        <v>384.64558263505597</v>
      </c>
      <c r="M101" s="116">
        <f>SUM(L101:L$109)</f>
        <v>1727.4558965061321</v>
      </c>
      <c r="N101" s="116">
        <f t="shared" si="28"/>
        <v>0</v>
      </c>
      <c r="O101" s="116">
        <f>SUM(N101:N$109)</f>
        <v>0</v>
      </c>
      <c r="P101" s="115">
        <f>SUM(O101:O$109)</f>
        <v>0</v>
      </c>
      <c r="R101" s="120">
        <v>93</v>
      </c>
      <c r="S101" s="119">
        <f t="shared" si="35"/>
        <v>83769.468157886557</v>
      </c>
      <c r="T101" s="119">
        <f t="shared" si="29"/>
        <v>0</v>
      </c>
      <c r="U101" s="118">
        <f t="shared" si="30"/>
        <v>0</v>
      </c>
      <c r="V101" s="117">
        <f t="shared" si="31"/>
        <v>1</v>
      </c>
      <c r="W101" s="116">
        <f t="shared" si="32"/>
        <v>65.264422263042292</v>
      </c>
      <c r="X101" s="116">
        <f>SUM(W101:W$109)</f>
        <v>440.31549287957347</v>
      </c>
      <c r="Y101" s="116">
        <f>SUM(X101:X$109)</f>
        <v>1977.471284830767</v>
      </c>
      <c r="Z101" s="116">
        <f t="shared" si="33"/>
        <v>0</v>
      </c>
      <c r="AA101" s="116">
        <f>SUM(Z101:Z$109)</f>
        <v>0</v>
      </c>
      <c r="AB101" s="115">
        <f>SUM(AA101:AA$109)</f>
        <v>0</v>
      </c>
    </row>
    <row r="102" spans="2:28">
      <c r="B102" s="123">
        <v>94</v>
      </c>
      <c r="C102" s="149"/>
      <c r="D102" s="148"/>
      <c r="F102" s="120">
        <v>94</v>
      </c>
      <c r="G102" s="119">
        <f t="shared" si="34"/>
        <v>73178.337822947447</v>
      </c>
      <c r="H102" s="119">
        <f t="shared" si="24"/>
        <v>0</v>
      </c>
      <c r="I102" s="121">
        <f t="shared" si="25"/>
        <v>0</v>
      </c>
      <c r="J102" s="117">
        <f t="shared" si="26"/>
        <v>1</v>
      </c>
      <c r="K102" s="116">
        <f t="shared" si="27"/>
        <v>52.789740228491297</v>
      </c>
      <c r="L102" s="116">
        <f>SUM(K102:K$109)</f>
        <v>327.63266318828533</v>
      </c>
      <c r="M102" s="116">
        <f>SUM(L102:L$109)</f>
        <v>1342.8103138710765</v>
      </c>
      <c r="N102" s="116">
        <f t="shared" si="28"/>
        <v>0</v>
      </c>
      <c r="O102" s="116">
        <f>SUM(N102:N$109)</f>
        <v>0</v>
      </c>
      <c r="P102" s="115">
        <f>SUM(O102:O$109)</f>
        <v>0</v>
      </c>
      <c r="R102" s="120">
        <v>94</v>
      </c>
      <c r="S102" s="119">
        <f t="shared" si="35"/>
        <v>83769.468157886557</v>
      </c>
      <c r="T102" s="119">
        <f t="shared" si="29"/>
        <v>0</v>
      </c>
      <c r="U102" s="118">
        <f t="shared" si="30"/>
        <v>0</v>
      </c>
      <c r="V102" s="117">
        <f t="shared" si="31"/>
        <v>1</v>
      </c>
      <c r="W102" s="116">
        <f t="shared" si="32"/>
        <v>60.430020613928043</v>
      </c>
      <c r="X102" s="116">
        <f>SUM(W102:W$109)</f>
        <v>375.05107061653121</v>
      </c>
      <c r="Y102" s="116">
        <f>SUM(X102:X$109)</f>
        <v>1537.155791951194</v>
      </c>
      <c r="Z102" s="116">
        <f t="shared" si="33"/>
        <v>0</v>
      </c>
      <c r="AA102" s="116">
        <f>SUM(Z102:Z$109)</f>
        <v>0</v>
      </c>
      <c r="AB102" s="115">
        <f>SUM(AA102:AA$109)</f>
        <v>0</v>
      </c>
    </row>
    <row r="103" spans="2:28">
      <c r="B103" s="123">
        <v>95</v>
      </c>
      <c r="C103" s="149"/>
      <c r="D103" s="148"/>
      <c r="F103" s="120">
        <v>95</v>
      </c>
      <c r="G103" s="119">
        <f t="shared" si="34"/>
        <v>73178.337822947447</v>
      </c>
      <c r="H103" s="119">
        <f t="shared" si="24"/>
        <v>0</v>
      </c>
      <c r="I103" s="121">
        <f t="shared" si="25"/>
        <v>0</v>
      </c>
      <c r="J103" s="117">
        <f t="shared" si="26"/>
        <v>1</v>
      </c>
      <c r="K103" s="116">
        <f t="shared" si="27"/>
        <v>48.879389100454894</v>
      </c>
      <c r="L103" s="116">
        <f>SUM(K103:K$109)</f>
        <v>274.84292295979407</v>
      </c>
      <c r="M103" s="116">
        <f>SUM(L103:L$109)</f>
        <v>1015.177650682791</v>
      </c>
      <c r="N103" s="116">
        <f t="shared" si="28"/>
        <v>0</v>
      </c>
      <c r="O103" s="116">
        <f>SUM(N103:N$109)</f>
        <v>0</v>
      </c>
      <c r="P103" s="115">
        <f>SUM(O103:O$109)</f>
        <v>0</v>
      </c>
      <c r="R103" s="120">
        <v>95</v>
      </c>
      <c r="S103" s="119">
        <f t="shared" si="35"/>
        <v>83769.468157886557</v>
      </c>
      <c r="T103" s="119">
        <f t="shared" si="29"/>
        <v>0</v>
      </c>
      <c r="U103" s="118">
        <f t="shared" si="30"/>
        <v>0</v>
      </c>
      <c r="V103" s="117">
        <f t="shared" si="31"/>
        <v>1</v>
      </c>
      <c r="W103" s="116">
        <f t="shared" si="32"/>
        <v>55.953722790674099</v>
      </c>
      <c r="X103" s="116">
        <f>SUM(W103:W$109)</f>
        <v>314.62105000260317</v>
      </c>
      <c r="Y103" s="116">
        <f>SUM(X103:X$109)</f>
        <v>1162.1047213346626</v>
      </c>
      <c r="Z103" s="116">
        <f t="shared" si="33"/>
        <v>0</v>
      </c>
      <c r="AA103" s="116">
        <f>SUM(Z103:Z$109)</f>
        <v>0</v>
      </c>
      <c r="AB103" s="115">
        <f>SUM(AA103:AA$109)</f>
        <v>0</v>
      </c>
    </row>
    <row r="104" spans="2:28">
      <c r="B104" s="123">
        <v>96</v>
      </c>
      <c r="C104" s="149"/>
      <c r="D104" s="148"/>
      <c r="F104" s="120">
        <v>96</v>
      </c>
      <c r="G104" s="119">
        <f t="shared" si="34"/>
        <v>73178.337822947447</v>
      </c>
      <c r="H104" s="119">
        <f t="shared" ref="H104:H109" si="36">G104*I104</f>
        <v>0</v>
      </c>
      <c r="I104" s="121">
        <f t="shared" ref="I104:I109" si="37">C104*$D$2</f>
        <v>0</v>
      </c>
      <c r="J104" s="117">
        <f t="shared" ref="J104:J109" si="38">1-I104</f>
        <v>1</v>
      </c>
      <c r="K104" s="116">
        <f t="shared" ref="K104:K109" si="39">v($C$2)^$F104*$G104</f>
        <v>45.258693611532316</v>
      </c>
      <c r="L104" s="116">
        <f>SUM(K104:K$109)</f>
        <v>225.96353385933915</v>
      </c>
      <c r="M104" s="116">
        <f>SUM(L104:L$109)</f>
        <v>740.33472772299683</v>
      </c>
      <c r="N104" s="116">
        <f t="shared" ref="N104:N109" si="40">v($C$2)^($F104+1)*$H104</f>
        <v>0</v>
      </c>
      <c r="O104" s="116">
        <f>SUM(N104:N$109)</f>
        <v>0</v>
      </c>
      <c r="P104" s="115">
        <f>SUM(O104:O$109)</f>
        <v>0</v>
      </c>
      <c r="R104" s="120">
        <v>96</v>
      </c>
      <c r="S104" s="119">
        <f t="shared" si="35"/>
        <v>83769.468157886557</v>
      </c>
      <c r="T104" s="119">
        <f t="shared" ref="T104:T109" si="41">S104*U104</f>
        <v>0</v>
      </c>
      <c r="U104" s="118">
        <f t="shared" si="30"/>
        <v>0</v>
      </c>
      <c r="V104" s="117">
        <f t="shared" ref="V104:V109" si="42">1-U104</f>
        <v>1</v>
      </c>
      <c r="W104" s="116">
        <f t="shared" ref="W104:W109" si="43">v($C$2)^$R104*$S104</f>
        <v>51.809002583957508</v>
      </c>
      <c r="X104" s="116">
        <f>SUM(W104:W$109)</f>
        <v>258.66732721192909</v>
      </c>
      <c r="Y104" s="116">
        <f>SUM(X104:X$109)</f>
        <v>847.48367133205943</v>
      </c>
      <c r="Z104" s="116">
        <f t="shared" ref="Z104:Z109" si="44">v($C$2)^($R104+1)*T104</f>
        <v>0</v>
      </c>
      <c r="AA104" s="116">
        <f>SUM(Z104:Z$109)</f>
        <v>0</v>
      </c>
      <c r="AB104" s="115">
        <f>SUM(AA104:AA$109)</f>
        <v>0</v>
      </c>
    </row>
    <row r="105" spans="2:28">
      <c r="B105" s="123">
        <v>97</v>
      </c>
      <c r="C105" s="149"/>
      <c r="D105" s="148"/>
      <c r="F105" s="120">
        <v>97</v>
      </c>
      <c r="G105" s="119">
        <f t="shared" si="34"/>
        <v>73178.337822947447</v>
      </c>
      <c r="H105" s="119">
        <f t="shared" si="36"/>
        <v>0</v>
      </c>
      <c r="I105" s="121">
        <f t="shared" si="37"/>
        <v>0</v>
      </c>
      <c r="J105" s="117">
        <f t="shared" si="38"/>
        <v>1</v>
      </c>
      <c r="K105" s="116">
        <f t="shared" si="39"/>
        <v>41.906197788455842</v>
      </c>
      <c r="L105" s="116">
        <f>SUM(K105:K$109)</f>
        <v>180.70484024780683</v>
      </c>
      <c r="M105" s="116">
        <f>SUM(L105:L$109)</f>
        <v>514.37119386365771</v>
      </c>
      <c r="N105" s="116">
        <f t="shared" si="40"/>
        <v>0</v>
      </c>
      <c r="O105" s="116">
        <f>SUM(N105:N$109)</f>
        <v>0</v>
      </c>
      <c r="P105" s="115">
        <f>SUM(O105:O$109)</f>
        <v>0</v>
      </c>
      <c r="R105" s="120">
        <v>97</v>
      </c>
      <c r="S105" s="119">
        <f t="shared" si="35"/>
        <v>83769.468157886557</v>
      </c>
      <c r="T105" s="119">
        <f t="shared" si="41"/>
        <v>0</v>
      </c>
      <c r="U105" s="118">
        <f t="shared" si="30"/>
        <v>0</v>
      </c>
      <c r="V105" s="117">
        <f t="shared" si="42"/>
        <v>1</v>
      </c>
      <c r="W105" s="116">
        <f t="shared" si="43"/>
        <v>47.971298688849544</v>
      </c>
      <c r="X105" s="116">
        <f>SUM(W105:W$109)</f>
        <v>206.85832462797157</v>
      </c>
      <c r="Y105" s="116">
        <f>SUM(X105:X$109)</f>
        <v>588.81634412013034</v>
      </c>
      <c r="Z105" s="116">
        <f t="shared" si="44"/>
        <v>0</v>
      </c>
      <c r="AA105" s="116">
        <f>SUM(Z105:Z$109)</f>
        <v>0</v>
      </c>
      <c r="AB105" s="115">
        <f>SUM(AA105:AA$109)</f>
        <v>0</v>
      </c>
    </row>
    <row r="106" spans="2:28">
      <c r="B106" s="123">
        <v>98</v>
      </c>
      <c r="C106" s="149"/>
      <c r="D106" s="148"/>
      <c r="F106" s="120">
        <v>98</v>
      </c>
      <c r="G106" s="119">
        <f t="shared" si="34"/>
        <v>73178.337822947447</v>
      </c>
      <c r="H106" s="119">
        <f t="shared" si="36"/>
        <v>0</v>
      </c>
      <c r="I106" s="121">
        <f t="shared" si="37"/>
        <v>0</v>
      </c>
      <c r="J106" s="117">
        <f t="shared" si="38"/>
        <v>1</v>
      </c>
      <c r="K106" s="116">
        <f t="shared" si="39"/>
        <v>38.802034989310961</v>
      </c>
      <c r="L106" s="116">
        <f>SUM(K106:K$109)</f>
        <v>138.79864245935099</v>
      </c>
      <c r="M106" s="116">
        <f>SUM(L106:L$109)</f>
        <v>333.66635361585094</v>
      </c>
      <c r="N106" s="116">
        <f t="shared" si="40"/>
        <v>0</v>
      </c>
      <c r="O106" s="116">
        <f>SUM(N106:N$109)</f>
        <v>0</v>
      </c>
      <c r="P106" s="115">
        <f>SUM(O106:O$109)</f>
        <v>0</v>
      </c>
      <c r="R106" s="120">
        <v>98</v>
      </c>
      <c r="S106" s="119">
        <f t="shared" si="35"/>
        <v>83769.468157886557</v>
      </c>
      <c r="T106" s="119">
        <f t="shared" si="41"/>
        <v>0</v>
      </c>
      <c r="U106" s="118">
        <f t="shared" si="30"/>
        <v>0</v>
      </c>
      <c r="V106" s="117">
        <f t="shared" si="42"/>
        <v>1</v>
      </c>
      <c r="W106" s="116">
        <f t="shared" si="43"/>
        <v>44.417869156342164</v>
      </c>
      <c r="X106" s="116">
        <f>SUM(W106:W$109)</f>
        <v>158.887025939122</v>
      </c>
      <c r="Y106" s="116">
        <f>SUM(X106:X$109)</f>
        <v>381.95801949215871</v>
      </c>
      <c r="Z106" s="116">
        <f t="shared" si="44"/>
        <v>0</v>
      </c>
      <c r="AA106" s="116">
        <f>SUM(Z106:Z$109)</f>
        <v>0</v>
      </c>
      <c r="AB106" s="115">
        <f>SUM(AA106:AA$109)</f>
        <v>0</v>
      </c>
    </row>
    <row r="107" spans="2:28">
      <c r="B107" s="123">
        <v>99</v>
      </c>
      <c r="C107" s="149"/>
      <c r="D107" s="148"/>
      <c r="F107" s="120">
        <v>99</v>
      </c>
      <c r="G107" s="119">
        <f t="shared" si="34"/>
        <v>73178.337822947447</v>
      </c>
      <c r="H107" s="119">
        <f t="shared" si="36"/>
        <v>0</v>
      </c>
      <c r="I107" s="121">
        <f t="shared" si="37"/>
        <v>0</v>
      </c>
      <c r="J107" s="117">
        <f t="shared" si="38"/>
        <v>1</v>
      </c>
      <c r="K107" s="116">
        <f t="shared" si="39"/>
        <v>35.927810175287924</v>
      </c>
      <c r="L107" s="116">
        <f>SUM(K107:K$109)</f>
        <v>99.996607470040047</v>
      </c>
      <c r="M107" s="116">
        <f>SUM(L107:L$109)</f>
        <v>194.86771115649989</v>
      </c>
      <c r="N107" s="116">
        <f t="shared" si="40"/>
        <v>0</v>
      </c>
      <c r="O107" s="116">
        <f>SUM(N107:N$109)</f>
        <v>0</v>
      </c>
      <c r="P107" s="115">
        <f>SUM(O107:O$109)</f>
        <v>0</v>
      </c>
      <c r="R107" s="120">
        <v>99</v>
      </c>
      <c r="S107" s="119">
        <f t="shared" si="35"/>
        <v>83769.468157886557</v>
      </c>
      <c r="T107" s="119">
        <f t="shared" si="41"/>
        <v>0</v>
      </c>
      <c r="U107" s="118">
        <f t="shared" si="30"/>
        <v>0</v>
      </c>
      <c r="V107" s="117">
        <f t="shared" si="42"/>
        <v>1</v>
      </c>
      <c r="W107" s="116">
        <f t="shared" si="43"/>
        <v>41.127656626242739</v>
      </c>
      <c r="X107" s="116">
        <f>SUM(W107:W$109)</f>
        <v>114.46915678277985</v>
      </c>
      <c r="Y107" s="116">
        <f>SUM(X107:X$109)</f>
        <v>223.07099355303671</v>
      </c>
      <c r="Z107" s="116">
        <f t="shared" si="44"/>
        <v>0</v>
      </c>
      <c r="AA107" s="116">
        <f>SUM(Z107:Z$109)</f>
        <v>0</v>
      </c>
      <c r="AB107" s="115">
        <f>SUM(AA107:AA$109)</f>
        <v>0</v>
      </c>
    </row>
    <row r="108" spans="2:28">
      <c r="B108" s="123">
        <v>100</v>
      </c>
      <c r="C108" s="147"/>
      <c r="D108" s="146"/>
      <c r="F108" s="120">
        <v>100</v>
      </c>
      <c r="G108" s="119">
        <f t="shared" si="34"/>
        <v>73178.337822947447</v>
      </c>
      <c r="H108" s="119">
        <f t="shared" si="36"/>
        <v>0</v>
      </c>
      <c r="I108" s="121">
        <f t="shared" si="37"/>
        <v>0</v>
      </c>
      <c r="J108" s="117">
        <f t="shared" si="38"/>
        <v>1</v>
      </c>
      <c r="K108" s="116">
        <f t="shared" si="39"/>
        <v>33.266490903044371</v>
      </c>
      <c r="L108" s="116">
        <f>SUM(K108:K$109)</f>
        <v>64.068797294752116</v>
      </c>
      <c r="M108" s="116">
        <f>SUM(L108:L$109)</f>
        <v>94.871103686459861</v>
      </c>
      <c r="N108" s="116">
        <f t="shared" si="40"/>
        <v>0</v>
      </c>
      <c r="O108" s="116">
        <f>SUM(N108:N$109)</f>
        <v>0</v>
      </c>
      <c r="P108" s="115">
        <f>SUM(O108:O$109)</f>
        <v>0</v>
      </c>
      <c r="R108" s="120">
        <v>100</v>
      </c>
      <c r="S108" s="119">
        <f t="shared" si="35"/>
        <v>83769.468157886557</v>
      </c>
      <c r="T108" s="119">
        <f t="shared" si="41"/>
        <v>0</v>
      </c>
      <c r="U108" s="118">
        <f t="shared" si="30"/>
        <v>0</v>
      </c>
      <c r="V108" s="117">
        <f t="shared" si="42"/>
        <v>1</v>
      </c>
      <c r="W108" s="116">
        <f t="shared" si="43"/>
        <v>38.08116354281735</v>
      </c>
      <c r="X108" s="116">
        <f>SUM(W108:W$109)</f>
        <v>73.341500156537109</v>
      </c>
      <c r="Y108" s="116">
        <f>SUM(X108:X$109)</f>
        <v>108.60183677025687</v>
      </c>
      <c r="Z108" s="116">
        <f t="shared" si="44"/>
        <v>0</v>
      </c>
      <c r="AA108" s="116">
        <f>SUM(Z108:Z$109)</f>
        <v>0</v>
      </c>
      <c r="AB108" s="115">
        <f>SUM(AA108:AA$109)</f>
        <v>0</v>
      </c>
    </row>
    <row r="109" spans="2:28">
      <c r="B109" s="114">
        <v>101</v>
      </c>
      <c r="C109" s="145"/>
      <c r="D109" s="144"/>
      <c r="F109" s="111">
        <v>101</v>
      </c>
      <c r="G109" s="110">
        <f t="shared" si="34"/>
        <v>73178.337822947447</v>
      </c>
      <c r="H109" s="110">
        <f t="shared" si="36"/>
        <v>0</v>
      </c>
      <c r="I109" s="112">
        <f t="shared" si="37"/>
        <v>0</v>
      </c>
      <c r="J109" s="108">
        <f t="shared" si="38"/>
        <v>1</v>
      </c>
      <c r="K109" s="107">
        <f t="shared" si="39"/>
        <v>30.802306391707742</v>
      </c>
      <c r="L109" s="107">
        <f>SUM(K109:K$109)</f>
        <v>30.802306391707742</v>
      </c>
      <c r="M109" s="107">
        <f>SUM(L109:L$109)</f>
        <v>30.802306391707742</v>
      </c>
      <c r="N109" s="107">
        <f t="shared" si="40"/>
        <v>0</v>
      </c>
      <c r="O109" s="107">
        <f>SUM(N109:N$109)</f>
        <v>0</v>
      </c>
      <c r="P109" s="106">
        <f>SUM(O109:O$109)</f>
        <v>0</v>
      </c>
      <c r="R109" s="111">
        <v>101</v>
      </c>
      <c r="S109" s="110">
        <f t="shared" si="35"/>
        <v>83769.468157886557</v>
      </c>
      <c r="T109" s="110">
        <f t="shared" si="41"/>
        <v>0</v>
      </c>
      <c r="U109" s="109">
        <v>0</v>
      </c>
      <c r="V109" s="108">
        <f t="shared" si="42"/>
        <v>1</v>
      </c>
      <c r="W109" s="107">
        <f t="shared" si="43"/>
        <v>35.260336613719758</v>
      </c>
      <c r="X109" s="107">
        <f>SUM(W109:W$109)</f>
        <v>35.260336613719758</v>
      </c>
      <c r="Y109" s="107">
        <f>SUM(X109:X$109)</f>
        <v>35.260336613719758</v>
      </c>
      <c r="Z109" s="107">
        <f t="shared" si="44"/>
        <v>0</v>
      </c>
      <c r="AA109" s="107">
        <f>SUM(Z109:Z$109)</f>
        <v>0</v>
      </c>
      <c r="AB109" s="106">
        <f>SUM(AA109:AA$109)</f>
        <v>0</v>
      </c>
    </row>
  </sheetData>
  <mergeCells count="6">
    <mergeCell ref="F4:P4"/>
    <mergeCell ref="R4:AB4"/>
    <mergeCell ref="F5:P5"/>
    <mergeCell ref="R5:AB5"/>
    <mergeCell ref="F6:P6"/>
    <mergeCell ref="R6:AB6"/>
  </mergeCell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6">
    <tabColor theme="9"/>
  </sheetPr>
  <dimension ref="B2:G37"/>
  <sheetViews>
    <sheetView topLeftCell="A4" zoomScale="85" zoomScaleNormal="85" workbookViewId="0">
      <selection activeCell="D6" sqref="D6"/>
    </sheetView>
  </sheetViews>
  <sheetFormatPr defaultColWidth="9.140625" defaultRowHeight="12.75"/>
  <cols>
    <col min="1" max="16384" width="9.140625" style="86"/>
  </cols>
  <sheetData>
    <row r="2" spans="2:3">
      <c r="B2" s="86" t="s">
        <v>186</v>
      </c>
      <c r="C2" s="86" t="s">
        <v>185</v>
      </c>
    </row>
    <row r="3" spans="2:3">
      <c r="C3" s="86" t="s">
        <v>184</v>
      </c>
    </row>
    <row r="4" spans="2:3">
      <c r="C4" s="86" t="s">
        <v>183</v>
      </c>
    </row>
    <row r="5" spans="2:3">
      <c r="C5" s="86" t="s">
        <v>182</v>
      </c>
    </row>
    <row r="6" spans="2:3">
      <c r="C6" s="86" t="s">
        <v>181</v>
      </c>
    </row>
    <row r="7" spans="2:3">
      <c r="C7" s="86" t="s">
        <v>180</v>
      </c>
    </row>
    <row r="8" spans="2:3">
      <c r="C8" s="86" t="s">
        <v>179</v>
      </c>
    </row>
    <row r="9" spans="2:3">
      <c r="C9" s="86" t="s">
        <v>178</v>
      </c>
    </row>
    <row r="10" spans="2:3">
      <c r="C10" s="86" t="s">
        <v>177</v>
      </c>
    </row>
    <row r="11" spans="2:3">
      <c r="B11" s="86" t="s">
        <v>176</v>
      </c>
      <c r="C11" s="86" t="s">
        <v>175</v>
      </c>
    </row>
    <row r="12" spans="2:3">
      <c r="C12" s="86" t="s">
        <v>174</v>
      </c>
    </row>
    <row r="13" spans="2:3">
      <c r="B13" s="86" t="s">
        <v>173</v>
      </c>
      <c r="C13" s="86" t="s">
        <v>172</v>
      </c>
    </row>
    <row r="14" spans="2:3">
      <c r="B14" s="86" t="s">
        <v>171</v>
      </c>
      <c r="C14" s="86" t="s">
        <v>170</v>
      </c>
    </row>
    <row r="15" spans="2:3">
      <c r="B15" s="86" t="s">
        <v>169</v>
      </c>
      <c r="C15" s="86" t="s">
        <v>168</v>
      </c>
    </row>
    <row r="16" spans="2:3">
      <c r="B16" s="86" t="s">
        <v>3</v>
      </c>
      <c r="C16" s="86" t="s">
        <v>168</v>
      </c>
    </row>
    <row r="17" spans="2:7">
      <c r="B17" s="86" t="s">
        <v>167</v>
      </c>
      <c r="C17" s="86" t="s">
        <v>166</v>
      </c>
    </row>
    <row r="18" spans="2:7">
      <c r="B18" s="86" t="s">
        <v>1</v>
      </c>
      <c r="C18" s="86" t="s">
        <v>165</v>
      </c>
    </row>
    <row r="19" spans="2:7">
      <c r="B19" s="86" t="s">
        <v>164</v>
      </c>
      <c r="C19" s="86" t="s">
        <v>163</v>
      </c>
    </row>
    <row r="20" spans="2:7">
      <c r="B20" s="86" t="s">
        <v>162</v>
      </c>
      <c r="C20" s="86" t="s">
        <v>161</v>
      </c>
    </row>
    <row r="21" spans="2:7">
      <c r="B21" s="86" t="s">
        <v>160</v>
      </c>
      <c r="C21" s="86" t="s">
        <v>159</v>
      </c>
    </row>
    <row r="22" spans="2:7">
      <c r="B22" s="86" t="s">
        <v>158</v>
      </c>
      <c r="C22" s="86" t="s">
        <v>155</v>
      </c>
    </row>
    <row r="23" spans="2:7">
      <c r="B23" s="86" t="s">
        <v>157</v>
      </c>
      <c r="C23" s="86" t="s">
        <v>155</v>
      </c>
    </row>
    <row r="24" spans="2:7">
      <c r="B24" s="86" t="s">
        <v>156</v>
      </c>
      <c r="C24" s="86" t="s">
        <v>155</v>
      </c>
    </row>
    <row r="25" spans="2:7">
      <c r="B25" s="86" t="s">
        <v>154</v>
      </c>
      <c r="C25" s="86" t="s">
        <v>153</v>
      </c>
      <c r="E25" s="86" t="s">
        <v>152</v>
      </c>
    </row>
    <row r="26" spans="2:7">
      <c r="B26" s="86" t="s">
        <v>151</v>
      </c>
      <c r="C26" s="86" t="s">
        <v>150</v>
      </c>
      <c r="E26" s="86" t="s">
        <v>149</v>
      </c>
    </row>
    <row r="27" spans="2:7">
      <c r="C27" s="86" t="s">
        <v>148</v>
      </c>
      <c r="E27" s="86" t="s">
        <v>147</v>
      </c>
    </row>
    <row r="28" spans="2:7">
      <c r="C28" s="86" t="s">
        <v>146</v>
      </c>
    </row>
    <row r="29" spans="2:7">
      <c r="C29" s="86" t="s">
        <v>145</v>
      </c>
    </row>
    <row r="30" spans="2:7">
      <c r="B30" s="86" t="s">
        <v>144</v>
      </c>
      <c r="C30" s="86" t="s">
        <v>143</v>
      </c>
      <c r="F30" s="86" t="s">
        <v>142</v>
      </c>
      <c r="G30" s="86" t="s">
        <v>141</v>
      </c>
    </row>
    <row r="31" spans="2:7">
      <c r="C31" s="86" t="s">
        <v>140</v>
      </c>
      <c r="D31" s="150">
        <v>0.2</v>
      </c>
      <c r="F31" s="86">
        <v>0</v>
      </c>
      <c r="G31" s="86">
        <v>0</v>
      </c>
    </row>
    <row r="32" spans="2:7">
      <c r="C32" s="86" t="s">
        <v>139</v>
      </c>
      <c r="D32" s="150">
        <v>0.3</v>
      </c>
    </row>
    <row r="33" spans="2:4">
      <c r="C33" s="86" t="s">
        <v>138</v>
      </c>
      <c r="D33" s="150">
        <v>0.4</v>
      </c>
    </row>
    <row r="34" spans="2:4">
      <c r="C34" s="86" t="s">
        <v>137</v>
      </c>
      <c r="D34" s="150">
        <v>0.5</v>
      </c>
    </row>
    <row r="35" spans="2:4">
      <c r="C35" s="86" t="s">
        <v>136</v>
      </c>
      <c r="D35" s="150">
        <v>0.6</v>
      </c>
    </row>
    <row r="36" spans="2:4">
      <c r="C36" s="86" t="s">
        <v>135</v>
      </c>
      <c r="D36" s="86" t="s">
        <v>134</v>
      </c>
    </row>
    <row r="37" spans="2:4">
      <c r="B37" s="86" t="s">
        <v>133</v>
      </c>
      <c r="C37" s="86" t="s">
        <v>132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7">
    <tabColor theme="9"/>
  </sheetPr>
  <dimension ref="A2:H21"/>
  <sheetViews>
    <sheetView zoomScale="85" zoomScaleNormal="85" workbookViewId="0">
      <selection activeCell="D6" sqref="D6"/>
    </sheetView>
  </sheetViews>
  <sheetFormatPr defaultColWidth="9.140625" defaultRowHeight="12.75"/>
  <cols>
    <col min="1" max="2" width="9.140625" style="86"/>
    <col min="3" max="3" width="35.5703125" style="86" customWidth="1"/>
    <col min="4" max="11" width="21.42578125" style="86" customWidth="1"/>
    <col min="12" max="16384" width="9.140625" style="86"/>
  </cols>
  <sheetData>
    <row r="2" spans="1:8">
      <c r="A2" s="86" t="s">
        <v>243</v>
      </c>
      <c r="B2" s="86" t="s">
        <v>242</v>
      </c>
    </row>
    <row r="3" spans="1:8">
      <c r="A3" s="86" t="s">
        <v>241</v>
      </c>
      <c r="B3" s="86" t="s">
        <v>240</v>
      </c>
    </row>
    <row r="4" spans="1:8">
      <c r="A4" s="86" t="s">
        <v>239</v>
      </c>
      <c r="B4" s="86" t="s">
        <v>43</v>
      </c>
      <c r="D4" s="86" t="s">
        <v>80</v>
      </c>
      <c r="E4" s="86" t="s">
        <v>238</v>
      </c>
      <c r="F4" s="86" t="s">
        <v>237</v>
      </c>
    </row>
    <row r="5" spans="1:8">
      <c r="E5" s="86" t="s">
        <v>236</v>
      </c>
      <c r="F5" s="86" t="s">
        <v>235</v>
      </c>
      <c r="H5" s="86" t="s">
        <v>234</v>
      </c>
    </row>
    <row r="6" spans="1:8">
      <c r="F6" s="86" t="s">
        <v>233</v>
      </c>
      <c r="G6" s="86" t="s">
        <v>232</v>
      </c>
      <c r="H6" s="86" t="s">
        <v>231</v>
      </c>
    </row>
    <row r="7" spans="1:8">
      <c r="F7" s="86" t="s">
        <v>230</v>
      </c>
      <c r="G7" s="86" t="s">
        <v>230</v>
      </c>
      <c r="H7" s="86" t="s">
        <v>229</v>
      </c>
    </row>
    <row r="8" spans="1:8">
      <c r="A8" s="86" t="s">
        <v>228</v>
      </c>
      <c r="B8" s="86" t="s">
        <v>227</v>
      </c>
      <c r="D8" s="86" t="s">
        <v>226</v>
      </c>
      <c r="E8" s="86" t="s">
        <v>188</v>
      </c>
      <c r="F8" s="86" t="s">
        <v>225</v>
      </c>
      <c r="G8" s="86" t="s">
        <v>225</v>
      </c>
      <c r="H8" s="86" t="s">
        <v>224</v>
      </c>
    </row>
    <row r="9" spans="1:8">
      <c r="F9" s="86" t="s">
        <v>223</v>
      </c>
      <c r="G9" s="86" t="s">
        <v>222</v>
      </c>
    </row>
    <row r="10" spans="1:8">
      <c r="F10" s="86" t="s">
        <v>221</v>
      </c>
      <c r="G10" s="86" t="s">
        <v>221</v>
      </c>
    </row>
    <row r="11" spans="1:8">
      <c r="B11" s="86" t="s">
        <v>220</v>
      </c>
      <c r="D11" s="86" t="s">
        <v>219</v>
      </c>
      <c r="E11" s="86" t="s">
        <v>195</v>
      </c>
      <c r="F11" s="86" t="s">
        <v>218</v>
      </c>
      <c r="G11" s="86" t="s">
        <v>218</v>
      </c>
    </row>
    <row r="12" spans="1:8">
      <c r="A12" s="86" t="s">
        <v>217</v>
      </c>
      <c r="B12" s="86" t="s">
        <v>73</v>
      </c>
      <c r="C12" s="86" t="s">
        <v>216</v>
      </c>
      <c r="D12" s="86" t="s">
        <v>215</v>
      </c>
      <c r="E12" s="86" t="s">
        <v>214</v>
      </c>
      <c r="F12" s="86" t="s">
        <v>213</v>
      </c>
      <c r="G12" s="86" t="s">
        <v>212</v>
      </c>
    </row>
    <row r="13" spans="1:8">
      <c r="A13" s="86" t="s">
        <v>211</v>
      </c>
      <c r="C13" s="86" t="s">
        <v>210</v>
      </c>
      <c r="D13" s="86" t="s">
        <v>209</v>
      </c>
      <c r="E13" s="86" t="s">
        <v>208</v>
      </c>
      <c r="F13" s="86" t="s">
        <v>207</v>
      </c>
      <c r="G13" s="86" t="s">
        <v>206</v>
      </c>
    </row>
    <row r="14" spans="1:8">
      <c r="C14" s="86" t="s">
        <v>205</v>
      </c>
      <c r="D14" s="86" t="s">
        <v>204</v>
      </c>
      <c r="E14" s="86" t="s">
        <v>188</v>
      </c>
    </row>
    <row r="16" spans="1:8">
      <c r="B16" s="86" t="s">
        <v>203</v>
      </c>
      <c r="C16" s="86" t="s">
        <v>202</v>
      </c>
      <c r="D16" s="86" t="s">
        <v>201</v>
      </c>
      <c r="E16" s="86" t="s">
        <v>195</v>
      </c>
      <c r="F16" s="86" t="s">
        <v>200</v>
      </c>
    </row>
    <row r="17" spans="2:6">
      <c r="C17" s="86" t="s">
        <v>199</v>
      </c>
      <c r="D17" s="86" t="s">
        <v>198</v>
      </c>
      <c r="E17" s="86" t="s">
        <v>195</v>
      </c>
    </row>
    <row r="18" spans="2:6">
      <c r="C18" s="86" t="s">
        <v>197</v>
      </c>
      <c r="D18" s="86" t="s">
        <v>196</v>
      </c>
      <c r="E18" s="86" t="s">
        <v>195</v>
      </c>
    </row>
    <row r="20" spans="2:6">
      <c r="B20" s="86" t="s">
        <v>194</v>
      </c>
      <c r="C20" s="86" t="s">
        <v>193</v>
      </c>
      <c r="D20" s="86" t="s">
        <v>189</v>
      </c>
      <c r="E20" s="86" t="s">
        <v>188</v>
      </c>
      <c r="F20" s="86" t="s">
        <v>192</v>
      </c>
    </row>
    <row r="21" spans="2:6">
      <c r="B21" s="86" t="s">
        <v>191</v>
      </c>
      <c r="C21" s="86" t="s">
        <v>190</v>
      </c>
      <c r="D21" s="86" t="s">
        <v>189</v>
      </c>
      <c r="E21" s="86" t="s">
        <v>188</v>
      </c>
      <c r="F21" s="86" t="s">
        <v>187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8">
    <tabColor theme="9"/>
  </sheetPr>
  <dimension ref="B1:AC63"/>
  <sheetViews>
    <sheetView topLeftCell="D8" zoomScale="85" zoomScaleNormal="85" workbookViewId="0">
      <selection activeCell="D6" sqref="D6"/>
    </sheetView>
  </sheetViews>
  <sheetFormatPr defaultColWidth="9.140625" defaultRowHeight="12.75"/>
  <cols>
    <col min="1" max="1" width="9.140625" style="86"/>
    <col min="2" max="2" width="14.42578125" style="86" customWidth="1"/>
    <col min="3" max="23" width="11.140625" style="87" customWidth="1"/>
    <col min="24" max="29" width="9.140625" style="87"/>
    <col min="30" max="16384" width="9.140625" style="86"/>
  </cols>
  <sheetData>
    <row r="1" spans="2:29">
      <c r="B1" s="93"/>
    </row>
    <row r="2" spans="2:29" s="87" customFormat="1">
      <c r="B2" s="95"/>
      <c r="C2" s="99"/>
    </row>
    <row r="3" spans="2:29" s="87" customFormat="1" ht="6" customHeight="1">
      <c r="B3" s="95"/>
      <c r="C3" s="216"/>
    </row>
    <row r="4" spans="2:29" s="87" customFormat="1">
      <c r="B4" s="93"/>
      <c r="C4" s="216"/>
    </row>
    <row r="5" spans="2:29" s="87" customFormat="1">
      <c r="B5" s="93"/>
      <c r="C5" s="216"/>
    </row>
    <row r="6" spans="2:29" ht="6" customHeight="1"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</row>
    <row r="7" spans="2:29" s="87" customFormat="1">
      <c r="B7" s="93"/>
      <c r="C7" s="215"/>
    </row>
    <row r="8" spans="2:29" s="87" customFormat="1">
      <c r="B8" s="93"/>
      <c r="C8" s="216"/>
    </row>
    <row r="9" spans="2:29" s="87" customFormat="1">
      <c r="B9" s="93"/>
      <c r="C9" s="215"/>
    </row>
    <row r="10" spans="2:29">
      <c r="B10" s="99" t="s">
        <v>245</v>
      </c>
    </row>
    <row r="11" spans="2:29" s="87" customFormat="1">
      <c r="B11" s="87" t="s">
        <v>107</v>
      </c>
      <c r="C11" s="87" t="s">
        <v>244</v>
      </c>
    </row>
    <row r="12" spans="2:29" s="87" customFormat="1" ht="13.5" thickBot="1">
      <c r="B12" s="214"/>
      <c r="C12" s="213">
        <v>1</v>
      </c>
      <c r="D12" s="213">
        <v>2</v>
      </c>
      <c r="E12" s="213">
        <v>3</v>
      </c>
      <c r="F12" s="212">
        <v>4</v>
      </c>
      <c r="G12" s="212">
        <v>5</v>
      </c>
      <c r="H12" s="211">
        <v>6</v>
      </c>
      <c r="I12" s="211">
        <v>7</v>
      </c>
      <c r="J12" s="211">
        <v>8</v>
      </c>
      <c r="K12" s="211">
        <v>9</v>
      </c>
      <c r="L12" s="211">
        <v>10</v>
      </c>
      <c r="M12" s="210">
        <v>11</v>
      </c>
      <c r="N12" s="210">
        <v>12</v>
      </c>
      <c r="O12" s="210">
        <v>13</v>
      </c>
      <c r="P12" s="210">
        <v>14</v>
      </c>
      <c r="Q12" s="210">
        <v>15</v>
      </c>
      <c r="R12" s="209">
        <v>16</v>
      </c>
      <c r="S12" s="209">
        <v>17</v>
      </c>
      <c r="T12" s="209">
        <v>18</v>
      </c>
      <c r="U12" s="209">
        <v>19</v>
      </c>
      <c r="V12" s="209">
        <v>20</v>
      </c>
      <c r="W12" s="208">
        <v>21</v>
      </c>
    </row>
    <row r="13" spans="2:29" s="87" customFormat="1" ht="14.25" thickTop="1" thickBot="1">
      <c r="B13" s="207">
        <v>30</v>
      </c>
      <c r="C13" s="177">
        <v>2.8</v>
      </c>
      <c r="D13" s="177">
        <v>2.8</v>
      </c>
      <c r="E13" s="177">
        <v>2.8</v>
      </c>
      <c r="F13" s="197">
        <v>7.3</v>
      </c>
      <c r="G13" s="197">
        <v>7.3</v>
      </c>
      <c r="H13" s="196">
        <v>8.8000000000000007</v>
      </c>
      <c r="I13" s="196">
        <v>8.8000000000000007</v>
      </c>
      <c r="J13" s="196">
        <v>8.8000000000000007</v>
      </c>
      <c r="K13" s="196">
        <v>8.8000000000000007</v>
      </c>
      <c r="L13" s="196">
        <v>8.8000000000000007</v>
      </c>
      <c r="M13" s="195">
        <v>8.3000000000000007</v>
      </c>
      <c r="N13" s="195">
        <v>8.3000000000000007</v>
      </c>
      <c r="O13" s="195">
        <v>8.3000000000000007</v>
      </c>
      <c r="P13" s="195">
        <v>8.3000000000000007</v>
      </c>
      <c r="Q13" s="195">
        <v>8.3000000000000007</v>
      </c>
      <c r="R13" s="173">
        <v>7.8</v>
      </c>
      <c r="S13" s="173">
        <v>7.8</v>
      </c>
      <c r="T13" s="173">
        <v>7.8</v>
      </c>
      <c r="U13" s="173">
        <v>7.8</v>
      </c>
      <c r="V13" s="173">
        <v>7.8</v>
      </c>
      <c r="W13" s="172">
        <v>7.2</v>
      </c>
    </row>
    <row r="14" spans="2:29" s="87" customFormat="1" ht="13.5" thickTop="1">
      <c r="B14" s="206">
        <v>31</v>
      </c>
      <c r="C14" s="170">
        <v>2.1</v>
      </c>
      <c r="D14" s="170">
        <v>2.1</v>
      </c>
      <c r="E14" s="170">
        <v>2.1</v>
      </c>
      <c r="F14" s="205">
        <v>5</v>
      </c>
      <c r="G14" s="205">
        <v>5</v>
      </c>
      <c r="H14" s="204">
        <v>6.2</v>
      </c>
      <c r="I14" s="204">
        <v>6.2</v>
      </c>
      <c r="J14" s="204">
        <v>6.2</v>
      </c>
      <c r="K14" s="204">
        <v>6.2</v>
      </c>
      <c r="L14" s="204">
        <v>6.2</v>
      </c>
      <c r="M14" s="203">
        <v>6.3</v>
      </c>
      <c r="N14" s="203">
        <v>6.3</v>
      </c>
      <c r="O14" s="203">
        <v>6.3</v>
      </c>
      <c r="P14" s="203">
        <v>6.3</v>
      </c>
      <c r="Q14" s="203">
        <v>6.3</v>
      </c>
      <c r="R14" s="166">
        <v>5.9</v>
      </c>
      <c r="S14" s="166">
        <v>5.9</v>
      </c>
      <c r="T14" s="166">
        <v>5.9</v>
      </c>
      <c r="U14" s="166">
        <v>5.9</v>
      </c>
      <c r="V14" s="166">
        <v>5.9</v>
      </c>
      <c r="W14" s="165">
        <v>5.5</v>
      </c>
    </row>
    <row r="15" spans="2:29" s="87" customFormat="1">
      <c r="B15" s="202">
        <v>32</v>
      </c>
      <c r="C15" s="163">
        <v>2.1</v>
      </c>
      <c r="D15" s="163">
        <v>2.1</v>
      </c>
      <c r="E15" s="163">
        <v>2.1</v>
      </c>
      <c r="F15" s="201">
        <v>5</v>
      </c>
      <c r="G15" s="201">
        <v>5</v>
      </c>
      <c r="H15" s="200">
        <v>6.2</v>
      </c>
      <c r="I15" s="200">
        <v>6.2</v>
      </c>
      <c r="J15" s="200">
        <v>6.2</v>
      </c>
      <c r="K15" s="200">
        <v>6.2</v>
      </c>
      <c r="L15" s="200">
        <v>6.2</v>
      </c>
      <c r="M15" s="199">
        <v>6.3</v>
      </c>
      <c r="N15" s="199">
        <v>6.3</v>
      </c>
      <c r="O15" s="199">
        <v>6.3</v>
      </c>
      <c r="P15" s="199">
        <v>6.3</v>
      </c>
      <c r="Q15" s="199">
        <v>6.3</v>
      </c>
      <c r="R15" s="159">
        <v>5.9</v>
      </c>
      <c r="S15" s="159">
        <v>5.9</v>
      </c>
      <c r="T15" s="159">
        <v>5.9</v>
      </c>
      <c r="U15" s="159">
        <v>5.9</v>
      </c>
      <c r="V15" s="159">
        <v>5.9</v>
      </c>
      <c r="W15" s="158">
        <v>5.5</v>
      </c>
    </row>
    <row r="16" spans="2:29" s="87" customFormat="1">
      <c r="B16" s="202">
        <v>33</v>
      </c>
      <c r="C16" s="163">
        <v>2.1</v>
      </c>
      <c r="D16" s="163">
        <v>2.1</v>
      </c>
      <c r="E16" s="163">
        <v>2.1</v>
      </c>
      <c r="F16" s="201">
        <v>5</v>
      </c>
      <c r="G16" s="201">
        <v>5</v>
      </c>
      <c r="H16" s="200">
        <v>6.2</v>
      </c>
      <c r="I16" s="200">
        <v>6.2</v>
      </c>
      <c r="J16" s="200">
        <v>6.2</v>
      </c>
      <c r="K16" s="200">
        <v>6.2</v>
      </c>
      <c r="L16" s="200">
        <v>6.2</v>
      </c>
      <c r="M16" s="199">
        <v>6.3</v>
      </c>
      <c r="N16" s="199">
        <v>6.3</v>
      </c>
      <c r="O16" s="199">
        <v>6.3</v>
      </c>
      <c r="P16" s="199">
        <v>6.3</v>
      </c>
      <c r="Q16" s="199">
        <v>6.3</v>
      </c>
      <c r="R16" s="159">
        <v>5.9</v>
      </c>
      <c r="S16" s="159">
        <v>5.9</v>
      </c>
      <c r="T16" s="159">
        <v>5.9</v>
      </c>
      <c r="U16" s="159">
        <v>5.9</v>
      </c>
      <c r="V16" s="159">
        <v>5.9</v>
      </c>
      <c r="W16" s="158">
        <v>5.5</v>
      </c>
    </row>
    <row r="17" spans="2:23" s="87" customFormat="1">
      <c r="B17" s="202">
        <v>34</v>
      </c>
      <c r="C17" s="163">
        <v>2.1</v>
      </c>
      <c r="D17" s="163">
        <v>2.1</v>
      </c>
      <c r="E17" s="163">
        <v>2.1</v>
      </c>
      <c r="F17" s="201">
        <v>5</v>
      </c>
      <c r="G17" s="201">
        <v>5</v>
      </c>
      <c r="H17" s="200">
        <v>6.2</v>
      </c>
      <c r="I17" s="200">
        <v>6.2</v>
      </c>
      <c r="J17" s="200">
        <v>6.2</v>
      </c>
      <c r="K17" s="200">
        <v>6.2</v>
      </c>
      <c r="L17" s="200">
        <v>6.2</v>
      </c>
      <c r="M17" s="199">
        <v>6.3</v>
      </c>
      <c r="N17" s="199">
        <v>6.3</v>
      </c>
      <c r="O17" s="199">
        <v>6.3</v>
      </c>
      <c r="P17" s="199">
        <v>6.3</v>
      </c>
      <c r="Q17" s="199">
        <v>6.3</v>
      </c>
      <c r="R17" s="159">
        <v>5.9</v>
      </c>
      <c r="S17" s="159">
        <v>5.9</v>
      </c>
      <c r="T17" s="159">
        <v>5.9</v>
      </c>
      <c r="U17" s="159">
        <v>5.9</v>
      </c>
      <c r="V17" s="159">
        <v>5.9</v>
      </c>
      <c r="W17" s="158">
        <v>5.5</v>
      </c>
    </row>
    <row r="18" spans="2:23" s="87" customFormat="1" ht="13.5" thickBot="1">
      <c r="B18" s="198">
        <v>35</v>
      </c>
      <c r="C18" s="177">
        <v>2.1</v>
      </c>
      <c r="D18" s="177">
        <v>2.1</v>
      </c>
      <c r="E18" s="177">
        <v>2.1</v>
      </c>
      <c r="F18" s="197">
        <v>5</v>
      </c>
      <c r="G18" s="197">
        <v>5</v>
      </c>
      <c r="H18" s="196">
        <v>6.2</v>
      </c>
      <c r="I18" s="196">
        <v>6.2</v>
      </c>
      <c r="J18" s="196">
        <v>6.2</v>
      </c>
      <c r="K18" s="196">
        <v>6.2</v>
      </c>
      <c r="L18" s="196">
        <v>6.2</v>
      </c>
      <c r="M18" s="195">
        <v>6.3</v>
      </c>
      <c r="N18" s="195">
        <v>6.3</v>
      </c>
      <c r="O18" s="195">
        <v>6.3</v>
      </c>
      <c r="P18" s="195">
        <v>6.3</v>
      </c>
      <c r="Q18" s="195">
        <v>6.3</v>
      </c>
      <c r="R18" s="173">
        <v>5.9</v>
      </c>
      <c r="S18" s="173">
        <v>5.9</v>
      </c>
      <c r="T18" s="173">
        <v>5.9</v>
      </c>
      <c r="U18" s="173">
        <v>5.9</v>
      </c>
      <c r="V18" s="173">
        <v>5.9</v>
      </c>
      <c r="W18" s="172">
        <v>5.5</v>
      </c>
    </row>
    <row r="19" spans="2:23" s="87" customFormat="1" ht="13.5" thickTop="1">
      <c r="B19" s="179">
        <v>36</v>
      </c>
      <c r="C19" s="163">
        <v>1.7</v>
      </c>
      <c r="D19" s="163">
        <v>1.7</v>
      </c>
      <c r="E19" s="163">
        <v>1.7</v>
      </c>
      <c r="F19" s="162">
        <v>3.8</v>
      </c>
      <c r="G19" s="162">
        <v>3.8</v>
      </c>
      <c r="H19" s="161">
        <v>5</v>
      </c>
      <c r="I19" s="161">
        <v>5</v>
      </c>
      <c r="J19" s="161">
        <v>5</v>
      </c>
      <c r="K19" s="161">
        <v>5</v>
      </c>
      <c r="L19" s="161">
        <v>5</v>
      </c>
      <c r="M19" s="160">
        <v>5</v>
      </c>
      <c r="N19" s="160">
        <v>5</v>
      </c>
      <c r="O19" s="160">
        <v>5</v>
      </c>
      <c r="P19" s="160">
        <v>5</v>
      </c>
      <c r="Q19" s="160">
        <v>5</v>
      </c>
      <c r="R19" s="159">
        <v>4.7</v>
      </c>
      <c r="S19" s="159">
        <v>4.7</v>
      </c>
      <c r="T19" s="159">
        <v>4.7</v>
      </c>
      <c r="U19" s="159">
        <v>4.7</v>
      </c>
      <c r="V19" s="159">
        <v>4.7</v>
      </c>
      <c r="W19" s="158">
        <v>4.3</v>
      </c>
    </row>
    <row r="20" spans="2:23" s="87" customFormat="1">
      <c r="B20" s="179">
        <v>37</v>
      </c>
      <c r="C20" s="163">
        <v>1.7</v>
      </c>
      <c r="D20" s="163">
        <v>1.7</v>
      </c>
      <c r="E20" s="163">
        <v>1.7</v>
      </c>
      <c r="F20" s="162">
        <v>3.8</v>
      </c>
      <c r="G20" s="162">
        <v>3.8</v>
      </c>
      <c r="H20" s="161">
        <v>5</v>
      </c>
      <c r="I20" s="161">
        <v>5</v>
      </c>
      <c r="J20" s="161">
        <v>5</v>
      </c>
      <c r="K20" s="161">
        <v>5</v>
      </c>
      <c r="L20" s="161">
        <v>5</v>
      </c>
      <c r="M20" s="160">
        <v>5</v>
      </c>
      <c r="N20" s="160">
        <v>5</v>
      </c>
      <c r="O20" s="160">
        <v>5</v>
      </c>
      <c r="P20" s="160">
        <v>5</v>
      </c>
      <c r="Q20" s="160">
        <v>5</v>
      </c>
      <c r="R20" s="159">
        <v>4.7</v>
      </c>
      <c r="S20" s="159">
        <v>4.7</v>
      </c>
      <c r="T20" s="159">
        <v>4.7</v>
      </c>
      <c r="U20" s="159">
        <v>4.7</v>
      </c>
      <c r="V20" s="159">
        <v>4.7</v>
      </c>
      <c r="W20" s="158">
        <v>4.3</v>
      </c>
    </row>
    <row r="21" spans="2:23" s="87" customFormat="1">
      <c r="B21" s="179">
        <v>38</v>
      </c>
      <c r="C21" s="163">
        <v>1.7</v>
      </c>
      <c r="D21" s="163">
        <v>1.7</v>
      </c>
      <c r="E21" s="163">
        <v>1.7</v>
      </c>
      <c r="F21" s="162">
        <v>3.8</v>
      </c>
      <c r="G21" s="162">
        <v>3.8</v>
      </c>
      <c r="H21" s="161">
        <v>5</v>
      </c>
      <c r="I21" s="161">
        <v>5</v>
      </c>
      <c r="J21" s="161">
        <v>5</v>
      </c>
      <c r="K21" s="161">
        <v>5</v>
      </c>
      <c r="L21" s="161">
        <v>5</v>
      </c>
      <c r="M21" s="160">
        <v>5</v>
      </c>
      <c r="N21" s="160">
        <v>5</v>
      </c>
      <c r="O21" s="160">
        <v>5</v>
      </c>
      <c r="P21" s="160">
        <v>5</v>
      </c>
      <c r="Q21" s="160">
        <v>5</v>
      </c>
      <c r="R21" s="159">
        <v>4.7</v>
      </c>
      <c r="S21" s="159">
        <v>4.7</v>
      </c>
      <c r="T21" s="159">
        <v>4.7</v>
      </c>
      <c r="U21" s="159">
        <v>4.7</v>
      </c>
      <c r="V21" s="159">
        <v>4.7</v>
      </c>
      <c r="W21" s="158">
        <v>4.3</v>
      </c>
    </row>
    <row r="22" spans="2:23" s="87" customFormat="1">
      <c r="B22" s="179">
        <v>39</v>
      </c>
      <c r="C22" s="163">
        <v>1.7</v>
      </c>
      <c r="D22" s="163">
        <v>1.7</v>
      </c>
      <c r="E22" s="163">
        <v>1.7</v>
      </c>
      <c r="F22" s="162">
        <v>3.8</v>
      </c>
      <c r="G22" s="162">
        <v>3.8</v>
      </c>
      <c r="H22" s="161">
        <v>5</v>
      </c>
      <c r="I22" s="161">
        <v>5</v>
      </c>
      <c r="J22" s="161">
        <v>5</v>
      </c>
      <c r="K22" s="161">
        <v>5</v>
      </c>
      <c r="L22" s="161">
        <v>5</v>
      </c>
      <c r="M22" s="160">
        <v>5</v>
      </c>
      <c r="N22" s="160">
        <v>5</v>
      </c>
      <c r="O22" s="160">
        <v>5</v>
      </c>
      <c r="P22" s="160">
        <v>5</v>
      </c>
      <c r="Q22" s="160">
        <v>5</v>
      </c>
      <c r="R22" s="159">
        <v>4.7</v>
      </c>
      <c r="S22" s="159">
        <v>4.7</v>
      </c>
      <c r="T22" s="159">
        <v>4.7</v>
      </c>
      <c r="U22" s="159">
        <v>4.7</v>
      </c>
      <c r="V22" s="159">
        <v>4.7</v>
      </c>
      <c r="W22" s="158">
        <v>4.3</v>
      </c>
    </row>
    <row r="23" spans="2:23" s="87" customFormat="1" ht="13.5" thickBot="1">
      <c r="B23" s="178">
        <v>40</v>
      </c>
      <c r="C23" s="177">
        <v>1.7</v>
      </c>
      <c r="D23" s="177">
        <v>1.7</v>
      </c>
      <c r="E23" s="177">
        <v>1.7</v>
      </c>
      <c r="F23" s="176">
        <v>3.8</v>
      </c>
      <c r="G23" s="176">
        <v>3.8</v>
      </c>
      <c r="H23" s="175">
        <v>5</v>
      </c>
      <c r="I23" s="175">
        <v>5</v>
      </c>
      <c r="J23" s="175">
        <v>5</v>
      </c>
      <c r="K23" s="175">
        <v>5</v>
      </c>
      <c r="L23" s="175">
        <v>5</v>
      </c>
      <c r="M23" s="174">
        <v>5</v>
      </c>
      <c r="N23" s="174">
        <v>5</v>
      </c>
      <c r="O23" s="174">
        <v>5</v>
      </c>
      <c r="P23" s="174">
        <v>5</v>
      </c>
      <c r="Q23" s="174">
        <v>5</v>
      </c>
      <c r="R23" s="173">
        <v>4.7</v>
      </c>
      <c r="S23" s="173">
        <v>4.7</v>
      </c>
      <c r="T23" s="173">
        <v>4.7</v>
      </c>
      <c r="U23" s="173">
        <v>4.7</v>
      </c>
      <c r="V23" s="173">
        <v>4.7</v>
      </c>
      <c r="W23" s="172">
        <v>4.3</v>
      </c>
    </row>
    <row r="24" spans="2:23" s="87" customFormat="1" ht="13.5" thickTop="1">
      <c r="B24" s="194">
        <v>41</v>
      </c>
      <c r="C24" s="170">
        <v>1.6</v>
      </c>
      <c r="D24" s="170">
        <v>1.6</v>
      </c>
      <c r="E24" s="170">
        <v>1.6</v>
      </c>
      <c r="F24" s="169">
        <v>3.3</v>
      </c>
      <c r="G24" s="169">
        <v>3.3</v>
      </c>
      <c r="H24" s="168">
        <v>4.0999999999999996</v>
      </c>
      <c r="I24" s="168">
        <v>4.0999999999999996</v>
      </c>
      <c r="J24" s="168">
        <v>4.0999999999999996</v>
      </c>
      <c r="K24" s="168">
        <v>4.0999999999999996</v>
      </c>
      <c r="L24" s="168">
        <v>4.0999999999999996</v>
      </c>
      <c r="M24" s="167">
        <v>4</v>
      </c>
      <c r="N24" s="167">
        <v>4</v>
      </c>
      <c r="O24" s="167">
        <v>4</v>
      </c>
      <c r="P24" s="167">
        <v>4</v>
      </c>
      <c r="Q24" s="167">
        <v>4</v>
      </c>
      <c r="R24" s="166">
        <v>3.7</v>
      </c>
      <c r="S24" s="166">
        <v>3.7</v>
      </c>
      <c r="T24" s="166">
        <v>3.7</v>
      </c>
      <c r="U24" s="166">
        <v>3.7</v>
      </c>
      <c r="V24" s="166">
        <v>3.7</v>
      </c>
      <c r="W24" s="165">
        <v>3.4</v>
      </c>
    </row>
    <row r="25" spans="2:23" s="87" customFormat="1">
      <c r="B25" s="193">
        <v>42</v>
      </c>
      <c r="C25" s="163">
        <v>1.6</v>
      </c>
      <c r="D25" s="163">
        <v>1.6</v>
      </c>
      <c r="E25" s="163">
        <v>1.6</v>
      </c>
      <c r="F25" s="162">
        <v>3.3</v>
      </c>
      <c r="G25" s="162">
        <v>3.3</v>
      </c>
      <c r="H25" s="161">
        <v>4.0999999999999996</v>
      </c>
      <c r="I25" s="161">
        <v>4.0999999999999996</v>
      </c>
      <c r="J25" s="161">
        <v>4.0999999999999996</v>
      </c>
      <c r="K25" s="161">
        <v>4.0999999999999996</v>
      </c>
      <c r="L25" s="161">
        <v>4.0999999999999996</v>
      </c>
      <c r="M25" s="160">
        <v>4</v>
      </c>
      <c r="N25" s="160">
        <v>4</v>
      </c>
      <c r="O25" s="160">
        <v>4</v>
      </c>
      <c r="P25" s="160">
        <v>4</v>
      </c>
      <c r="Q25" s="160">
        <v>4</v>
      </c>
      <c r="R25" s="159">
        <v>3.7</v>
      </c>
      <c r="S25" s="159">
        <v>3.7</v>
      </c>
      <c r="T25" s="159">
        <v>3.7</v>
      </c>
      <c r="U25" s="159">
        <v>3.7</v>
      </c>
      <c r="V25" s="159">
        <v>3.7</v>
      </c>
      <c r="W25" s="158">
        <v>3.4</v>
      </c>
    </row>
    <row r="26" spans="2:23" s="87" customFormat="1">
      <c r="B26" s="193">
        <v>43</v>
      </c>
      <c r="C26" s="163">
        <v>1.6</v>
      </c>
      <c r="D26" s="163">
        <v>1.6</v>
      </c>
      <c r="E26" s="163">
        <v>1.6</v>
      </c>
      <c r="F26" s="162">
        <v>3.3</v>
      </c>
      <c r="G26" s="162">
        <v>3.3</v>
      </c>
      <c r="H26" s="161">
        <v>4.0999999999999996</v>
      </c>
      <c r="I26" s="161">
        <v>4.0999999999999996</v>
      </c>
      <c r="J26" s="161">
        <v>4.0999999999999996</v>
      </c>
      <c r="K26" s="161">
        <v>4.0999999999999996</v>
      </c>
      <c r="L26" s="161">
        <v>4.0999999999999996</v>
      </c>
      <c r="M26" s="160">
        <v>4</v>
      </c>
      <c r="N26" s="160">
        <v>4</v>
      </c>
      <c r="O26" s="160">
        <v>4</v>
      </c>
      <c r="P26" s="160">
        <v>4</v>
      </c>
      <c r="Q26" s="160">
        <v>4</v>
      </c>
      <c r="R26" s="159">
        <v>3.7</v>
      </c>
      <c r="S26" s="159">
        <v>3.7</v>
      </c>
      <c r="T26" s="159">
        <v>3.7</v>
      </c>
      <c r="U26" s="159">
        <v>3.7</v>
      </c>
      <c r="V26" s="159">
        <v>3.7</v>
      </c>
      <c r="W26" s="158">
        <v>3.4</v>
      </c>
    </row>
    <row r="27" spans="2:23" s="87" customFormat="1">
      <c r="B27" s="193">
        <v>44</v>
      </c>
      <c r="C27" s="163">
        <v>1.6</v>
      </c>
      <c r="D27" s="163">
        <v>1.6</v>
      </c>
      <c r="E27" s="163">
        <v>1.6</v>
      </c>
      <c r="F27" s="162">
        <v>3.3</v>
      </c>
      <c r="G27" s="162">
        <v>3.3</v>
      </c>
      <c r="H27" s="161">
        <v>4.0999999999999996</v>
      </c>
      <c r="I27" s="161">
        <v>4.0999999999999996</v>
      </c>
      <c r="J27" s="161">
        <v>4.0999999999999996</v>
      </c>
      <c r="K27" s="161">
        <v>4.0999999999999996</v>
      </c>
      <c r="L27" s="161">
        <v>4.0999999999999996</v>
      </c>
      <c r="M27" s="160">
        <v>4</v>
      </c>
      <c r="N27" s="160">
        <v>4</v>
      </c>
      <c r="O27" s="160">
        <v>4</v>
      </c>
      <c r="P27" s="160">
        <v>4</v>
      </c>
      <c r="Q27" s="160">
        <v>4</v>
      </c>
      <c r="R27" s="159">
        <v>3.7</v>
      </c>
      <c r="S27" s="159">
        <v>3.7</v>
      </c>
      <c r="T27" s="159">
        <v>3.7</v>
      </c>
      <c r="U27" s="159">
        <v>3.7</v>
      </c>
      <c r="V27" s="159">
        <v>3.7</v>
      </c>
      <c r="W27" s="158">
        <v>3.4</v>
      </c>
    </row>
    <row r="28" spans="2:23" s="87" customFormat="1" ht="13.5" thickBot="1">
      <c r="B28" s="192">
        <v>45</v>
      </c>
      <c r="C28" s="177">
        <v>1.6</v>
      </c>
      <c r="D28" s="177">
        <v>1.6</v>
      </c>
      <c r="E28" s="177">
        <v>1.6</v>
      </c>
      <c r="F28" s="176">
        <v>3.3</v>
      </c>
      <c r="G28" s="176">
        <v>3.3</v>
      </c>
      <c r="H28" s="175">
        <v>4.0999999999999996</v>
      </c>
      <c r="I28" s="175">
        <v>4.0999999999999996</v>
      </c>
      <c r="J28" s="175">
        <v>4.0999999999999996</v>
      </c>
      <c r="K28" s="175">
        <v>4.0999999999999996</v>
      </c>
      <c r="L28" s="175">
        <v>4.0999999999999996</v>
      </c>
      <c r="M28" s="174">
        <v>4</v>
      </c>
      <c r="N28" s="174">
        <v>4</v>
      </c>
      <c r="O28" s="174">
        <v>4</v>
      </c>
      <c r="P28" s="174">
        <v>4</v>
      </c>
      <c r="Q28" s="174">
        <v>4</v>
      </c>
      <c r="R28" s="173">
        <v>3.7</v>
      </c>
      <c r="S28" s="173">
        <v>3.7</v>
      </c>
      <c r="T28" s="173">
        <v>3.7</v>
      </c>
      <c r="U28" s="173">
        <v>3.7</v>
      </c>
      <c r="V28" s="173">
        <v>3.7</v>
      </c>
      <c r="W28" s="172">
        <v>3.4</v>
      </c>
    </row>
    <row r="29" spans="2:23" s="87" customFormat="1" ht="13.5" thickTop="1">
      <c r="B29" s="191">
        <v>46</v>
      </c>
      <c r="C29" s="163">
        <v>1.4</v>
      </c>
      <c r="D29" s="163">
        <v>1.4</v>
      </c>
      <c r="E29" s="163">
        <v>1.4</v>
      </c>
      <c r="F29" s="162">
        <v>2.7</v>
      </c>
      <c r="G29" s="162">
        <v>2.7</v>
      </c>
      <c r="H29" s="161">
        <v>3.2</v>
      </c>
      <c r="I29" s="161">
        <v>3.2</v>
      </c>
      <c r="J29" s="161">
        <v>3.2</v>
      </c>
      <c r="K29" s="161">
        <v>3.2</v>
      </c>
      <c r="L29" s="161">
        <v>3.2</v>
      </c>
      <c r="M29" s="160">
        <v>3.1</v>
      </c>
      <c r="N29" s="160">
        <v>3.1</v>
      </c>
      <c r="O29" s="160">
        <v>3.1</v>
      </c>
      <c r="P29" s="160">
        <v>3.1</v>
      </c>
      <c r="Q29" s="160">
        <v>3.1</v>
      </c>
      <c r="R29" s="159">
        <v>2.9</v>
      </c>
      <c r="S29" s="159">
        <v>2.9</v>
      </c>
      <c r="T29" s="159">
        <v>2.9</v>
      </c>
      <c r="U29" s="159">
        <v>2.9</v>
      </c>
      <c r="V29" s="159">
        <v>2.9</v>
      </c>
      <c r="W29" s="158">
        <v>2.7</v>
      </c>
    </row>
    <row r="30" spans="2:23" s="87" customFormat="1">
      <c r="B30" s="191">
        <v>47</v>
      </c>
      <c r="C30" s="163">
        <v>1.4</v>
      </c>
      <c r="D30" s="163">
        <v>1.4</v>
      </c>
      <c r="E30" s="163">
        <v>1.4</v>
      </c>
      <c r="F30" s="162">
        <v>2.7</v>
      </c>
      <c r="G30" s="162">
        <v>2.7</v>
      </c>
      <c r="H30" s="161">
        <v>3.2</v>
      </c>
      <c r="I30" s="161">
        <v>3.2</v>
      </c>
      <c r="J30" s="161">
        <v>3.2</v>
      </c>
      <c r="K30" s="161">
        <v>3.2</v>
      </c>
      <c r="L30" s="161">
        <v>3.2</v>
      </c>
      <c r="M30" s="160">
        <v>3.1</v>
      </c>
      <c r="N30" s="160">
        <v>3.1</v>
      </c>
      <c r="O30" s="160">
        <v>3.1</v>
      </c>
      <c r="P30" s="160">
        <v>3.1</v>
      </c>
      <c r="Q30" s="160">
        <v>3.1</v>
      </c>
      <c r="R30" s="159">
        <v>2.9</v>
      </c>
      <c r="S30" s="159">
        <v>2.9</v>
      </c>
      <c r="T30" s="159">
        <v>2.9</v>
      </c>
      <c r="U30" s="159">
        <v>2.9</v>
      </c>
      <c r="V30" s="159">
        <v>2.9</v>
      </c>
      <c r="W30" s="158">
        <v>2.7</v>
      </c>
    </row>
    <row r="31" spans="2:23" s="87" customFormat="1">
      <c r="B31" s="191">
        <v>48</v>
      </c>
      <c r="C31" s="163">
        <v>1.4</v>
      </c>
      <c r="D31" s="163">
        <v>1.4</v>
      </c>
      <c r="E31" s="163">
        <v>1.4</v>
      </c>
      <c r="F31" s="162">
        <v>2.7</v>
      </c>
      <c r="G31" s="162">
        <v>2.7</v>
      </c>
      <c r="H31" s="161">
        <v>3.2</v>
      </c>
      <c r="I31" s="161">
        <v>3.2</v>
      </c>
      <c r="J31" s="161">
        <v>3.2</v>
      </c>
      <c r="K31" s="161">
        <v>3.2</v>
      </c>
      <c r="L31" s="161">
        <v>3.2</v>
      </c>
      <c r="M31" s="160">
        <v>3.1</v>
      </c>
      <c r="N31" s="160">
        <v>3.1</v>
      </c>
      <c r="O31" s="160">
        <v>3.1</v>
      </c>
      <c r="P31" s="160">
        <v>3.1</v>
      </c>
      <c r="Q31" s="160">
        <v>3.1</v>
      </c>
      <c r="R31" s="159">
        <v>2.9</v>
      </c>
      <c r="S31" s="159">
        <v>2.9</v>
      </c>
      <c r="T31" s="159">
        <v>2.9</v>
      </c>
      <c r="U31" s="159">
        <v>2.9</v>
      </c>
      <c r="V31" s="159">
        <v>2.9</v>
      </c>
      <c r="W31" s="158">
        <v>2.7</v>
      </c>
    </row>
    <row r="32" spans="2:23" s="87" customFormat="1">
      <c r="B32" s="191">
        <v>49</v>
      </c>
      <c r="C32" s="163">
        <v>1.4</v>
      </c>
      <c r="D32" s="163">
        <v>1.4</v>
      </c>
      <c r="E32" s="163">
        <v>1.4</v>
      </c>
      <c r="F32" s="162">
        <v>2.7</v>
      </c>
      <c r="G32" s="162">
        <v>2.7</v>
      </c>
      <c r="H32" s="161">
        <v>3.2</v>
      </c>
      <c r="I32" s="161">
        <v>3.2</v>
      </c>
      <c r="J32" s="161">
        <v>3.2</v>
      </c>
      <c r="K32" s="161">
        <v>3.2</v>
      </c>
      <c r="L32" s="161">
        <v>3.2</v>
      </c>
      <c r="M32" s="160">
        <v>3.1</v>
      </c>
      <c r="N32" s="160">
        <v>3.1</v>
      </c>
      <c r="O32" s="160">
        <v>3.1</v>
      </c>
      <c r="P32" s="160">
        <v>3.1</v>
      </c>
      <c r="Q32" s="160">
        <v>3.1</v>
      </c>
      <c r="R32" s="159">
        <v>2.9</v>
      </c>
      <c r="S32" s="159">
        <v>2.9</v>
      </c>
      <c r="T32" s="159">
        <v>2.9</v>
      </c>
      <c r="U32" s="159">
        <v>2.9</v>
      </c>
      <c r="V32" s="159">
        <v>2.9</v>
      </c>
      <c r="W32" s="158">
        <v>2.7</v>
      </c>
    </row>
    <row r="33" spans="2:23" s="87" customFormat="1" ht="13.5" thickBot="1">
      <c r="B33" s="190">
        <v>50</v>
      </c>
      <c r="C33" s="177">
        <v>1.4</v>
      </c>
      <c r="D33" s="177">
        <v>1.4</v>
      </c>
      <c r="E33" s="177">
        <v>1.4</v>
      </c>
      <c r="F33" s="176">
        <v>2.7</v>
      </c>
      <c r="G33" s="176">
        <v>2.7</v>
      </c>
      <c r="H33" s="175">
        <v>3.2</v>
      </c>
      <c r="I33" s="175">
        <v>3.2</v>
      </c>
      <c r="J33" s="175">
        <v>3.2</v>
      </c>
      <c r="K33" s="175">
        <v>3.2</v>
      </c>
      <c r="L33" s="175">
        <v>3.2</v>
      </c>
      <c r="M33" s="174">
        <v>3.1</v>
      </c>
      <c r="N33" s="174">
        <v>3.1</v>
      </c>
      <c r="O33" s="174">
        <v>3.1</v>
      </c>
      <c r="P33" s="174">
        <v>3.1</v>
      </c>
      <c r="Q33" s="174">
        <v>3.1</v>
      </c>
      <c r="R33" s="173">
        <v>2.9</v>
      </c>
      <c r="S33" s="173">
        <v>2.9</v>
      </c>
      <c r="T33" s="173">
        <v>2.9</v>
      </c>
      <c r="U33" s="173">
        <v>2.9</v>
      </c>
      <c r="V33" s="173">
        <v>2.9</v>
      </c>
      <c r="W33" s="172">
        <v>2.7</v>
      </c>
    </row>
    <row r="34" spans="2:23" s="87" customFormat="1" ht="13.5" thickTop="1">
      <c r="B34" s="189">
        <v>51</v>
      </c>
      <c r="C34" s="170">
        <v>1.3</v>
      </c>
      <c r="D34" s="170">
        <v>1.3</v>
      </c>
      <c r="E34" s="170">
        <v>1.3</v>
      </c>
      <c r="F34" s="169">
        <v>2.2000000000000002</v>
      </c>
      <c r="G34" s="169">
        <v>2.2000000000000002</v>
      </c>
      <c r="H34" s="168">
        <v>2.5</v>
      </c>
      <c r="I34" s="168">
        <v>2.5</v>
      </c>
      <c r="J34" s="168">
        <v>2.5</v>
      </c>
      <c r="K34" s="168">
        <v>2.5</v>
      </c>
      <c r="L34" s="168">
        <v>2.5</v>
      </c>
      <c r="M34" s="167">
        <v>2.4</v>
      </c>
      <c r="N34" s="167">
        <v>2.4</v>
      </c>
      <c r="O34" s="167">
        <v>2.4</v>
      </c>
      <c r="P34" s="167">
        <v>2.4</v>
      </c>
      <c r="Q34" s="167">
        <v>2.4</v>
      </c>
      <c r="R34" s="166">
        <v>2.2999999999999998</v>
      </c>
      <c r="S34" s="166">
        <v>2.2999999999999998</v>
      </c>
      <c r="T34" s="166">
        <v>2.2999999999999998</v>
      </c>
      <c r="U34" s="166">
        <v>2.2999999999999998</v>
      </c>
      <c r="V34" s="166">
        <v>2.2999999999999998</v>
      </c>
      <c r="W34" s="165">
        <v>2.2000000000000002</v>
      </c>
    </row>
    <row r="35" spans="2:23" s="87" customFormat="1">
      <c r="B35" s="188">
        <v>52</v>
      </c>
      <c r="C35" s="163">
        <v>1.3</v>
      </c>
      <c r="D35" s="163">
        <v>1.3</v>
      </c>
      <c r="E35" s="163">
        <v>1.3</v>
      </c>
      <c r="F35" s="162">
        <v>2.2000000000000002</v>
      </c>
      <c r="G35" s="162">
        <v>2.2000000000000002</v>
      </c>
      <c r="H35" s="161">
        <v>2.5</v>
      </c>
      <c r="I35" s="161">
        <v>2.5</v>
      </c>
      <c r="J35" s="161">
        <v>2.5</v>
      </c>
      <c r="K35" s="161">
        <v>2.5</v>
      </c>
      <c r="L35" s="161">
        <v>2.5</v>
      </c>
      <c r="M35" s="160">
        <v>2.4</v>
      </c>
      <c r="N35" s="160">
        <v>2.4</v>
      </c>
      <c r="O35" s="160">
        <v>2.4</v>
      </c>
      <c r="P35" s="160">
        <v>2.4</v>
      </c>
      <c r="Q35" s="160">
        <v>2.4</v>
      </c>
      <c r="R35" s="159">
        <v>2.2999999999999998</v>
      </c>
      <c r="S35" s="159">
        <v>2.2999999999999998</v>
      </c>
      <c r="T35" s="159">
        <v>2.2999999999999998</v>
      </c>
      <c r="U35" s="159">
        <v>2.2999999999999998</v>
      </c>
      <c r="V35" s="159">
        <v>2.2999999999999998</v>
      </c>
      <c r="W35" s="158">
        <v>2.2000000000000002</v>
      </c>
    </row>
    <row r="36" spans="2:23" s="87" customFormat="1">
      <c r="B36" s="188">
        <v>53</v>
      </c>
      <c r="C36" s="163">
        <v>1.3</v>
      </c>
      <c r="D36" s="163">
        <v>1.3</v>
      </c>
      <c r="E36" s="163">
        <v>1.3</v>
      </c>
      <c r="F36" s="162">
        <v>2.2000000000000002</v>
      </c>
      <c r="G36" s="162">
        <v>2.2000000000000002</v>
      </c>
      <c r="H36" s="161">
        <v>2.5</v>
      </c>
      <c r="I36" s="161">
        <v>2.5</v>
      </c>
      <c r="J36" s="161">
        <v>2.5</v>
      </c>
      <c r="K36" s="161">
        <v>2.5</v>
      </c>
      <c r="L36" s="161">
        <v>2.5</v>
      </c>
      <c r="M36" s="160">
        <v>2.4</v>
      </c>
      <c r="N36" s="160">
        <v>2.4</v>
      </c>
      <c r="O36" s="160">
        <v>2.4</v>
      </c>
      <c r="P36" s="160">
        <v>2.4</v>
      </c>
      <c r="Q36" s="160">
        <v>2.4</v>
      </c>
      <c r="R36" s="159">
        <v>2.2999999999999998</v>
      </c>
      <c r="S36" s="159">
        <v>2.2999999999999998</v>
      </c>
      <c r="T36" s="159">
        <v>2.2999999999999998</v>
      </c>
      <c r="U36" s="159">
        <v>2.2999999999999998</v>
      </c>
      <c r="V36" s="159">
        <v>2.2999999999999998</v>
      </c>
      <c r="W36" s="158">
        <v>2.2000000000000002</v>
      </c>
    </row>
    <row r="37" spans="2:23" s="87" customFormat="1">
      <c r="B37" s="188">
        <v>54</v>
      </c>
      <c r="C37" s="163">
        <v>1.3</v>
      </c>
      <c r="D37" s="163">
        <v>1.3</v>
      </c>
      <c r="E37" s="163">
        <v>1.3</v>
      </c>
      <c r="F37" s="162">
        <v>2.2000000000000002</v>
      </c>
      <c r="G37" s="162">
        <v>2.2000000000000002</v>
      </c>
      <c r="H37" s="161">
        <v>2.5</v>
      </c>
      <c r="I37" s="161">
        <v>2.5</v>
      </c>
      <c r="J37" s="161">
        <v>2.5</v>
      </c>
      <c r="K37" s="161">
        <v>2.5</v>
      </c>
      <c r="L37" s="161">
        <v>2.5</v>
      </c>
      <c r="M37" s="160">
        <v>2.4</v>
      </c>
      <c r="N37" s="160">
        <v>2.4</v>
      </c>
      <c r="O37" s="160">
        <v>2.4</v>
      </c>
      <c r="P37" s="160">
        <v>2.4</v>
      </c>
      <c r="Q37" s="160">
        <v>2.4</v>
      </c>
      <c r="R37" s="159">
        <v>2.2999999999999998</v>
      </c>
      <c r="S37" s="159">
        <v>2.2999999999999998</v>
      </c>
      <c r="T37" s="159">
        <v>2.2999999999999998</v>
      </c>
      <c r="U37" s="159">
        <v>2.2999999999999998</v>
      </c>
      <c r="V37" s="159">
        <v>2.2999999999999998</v>
      </c>
      <c r="W37" s="158">
        <v>2.2000000000000002</v>
      </c>
    </row>
    <row r="38" spans="2:23" s="87" customFormat="1" ht="13.5" thickBot="1">
      <c r="B38" s="187">
        <v>55</v>
      </c>
      <c r="C38" s="177">
        <v>1.3</v>
      </c>
      <c r="D38" s="177">
        <v>1.3</v>
      </c>
      <c r="E38" s="177">
        <v>1.3</v>
      </c>
      <c r="F38" s="176">
        <v>2.2000000000000002</v>
      </c>
      <c r="G38" s="176">
        <v>2.2000000000000002</v>
      </c>
      <c r="H38" s="175">
        <v>2.5</v>
      </c>
      <c r="I38" s="175">
        <v>2.5</v>
      </c>
      <c r="J38" s="175">
        <v>2.5</v>
      </c>
      <c r="K38" s="175">
        <v>2.5</v>
      </c>
      <c r="L38" s="175">
        <v>2.5</v>
      </c>
      <c r="M38" s="174">
        <v>2.4</v>
      </c>
      <c r="N38" s="174">
        <v>2.4</v>
      </c>
      <c r="O38" s="174">
        <v>2.4</v>
      </c>
      <c r="P38" s="174">
        <v>2.4</v>
      </c>
      <c r="Q38" s="174">
        <v>2.4</v>
      </c>
      <c r="R38" s="173">
        <v>2.2999999999999998</v>
      </c>
      <c r="S38" s="173">
        <v>2.2999999999999998</v>
      </c>
      <c r="T38" s="173">
        <v>2.2999999999999998</v>
      </c>
      <c r="U38" s="173">
        <v>2.2999999999999998</v>
      </c>
      <c r="V38" s="173">
        <v>2.2999999999999998</v>
      </c>
      <c r="W38" s="172">
        <v>2.2000000000000002</v>
      </c>
    </row>
    <row r="39" spans="2:23" s="87" customFormat="1" ht="13.5" thickTop="1">
      <c r="B39" s="186">
        <v>56</v>
      </c>
      <c r="C39" s="170">
        <v>1.2</v>
      </c>
      <c r="D39" s="170">
        <v>1.2</v>
      </c>
      <c r="E39" s="170">
        <v>1.2</v>
      </c>
      <c r="F39" s="169">
        <v>1.7</v>
      </c>
      <c r="G39" s="169">
        <v>1.7</v>
      </c>
      <c r="H39" s="168">
        <v>2</v>
      </c>
      <c r="I39" s="168">
        <v>2</v>
      </c>
      <c r="J39" s="168">
        <v>2</v>
      </c>
      <c r="K39" s="168">
        <v>2</v>
      </c>
      <c r="L39" s="168">
        <v>2</v>
      </c>
      <c r="M39" s="167">
        <v>2</v>
      </c>
      <c r="N39" s="167">
        <v>2</v>
      </c>
      <c r="O39" s="167">
        <v>2</v>
      </c>
      <c r="P39" s="167">
        <v>2</v>
      </c>
      <c r="Q39" s="167">
        <v>2</v>
      </c>
      <c r="R39" s="185">
        <v>2</v>
      </c>
      <c r="S39" s="185">
        <v>2</v>
      </c>
      <c r="T39" s="185">
        <v>2</v>
      </c>
      <c r="U39" s="185">
        <v>2</v>
      </c>
      <c r="V39" s="185">
        <v>2</v>
      </c>
      <c r="W39" s="165">
        <v>1.9</v>
      </c>
    </row>
    <row r="40" spans="2:23" s="87" customFormat="1">
      <c r="B40" s="184">
        <v>57</v>
      </c>
      <c r="C40" s="163">
        <v>1.2</v>
      </c>
      <c r="D40" s="163">
        <v>1.2</v>
      </c>
      <c r="E40" s="163">
        <v>1.2</v>
      </c>
      <c r="F40" s="162">
        <v>1.7</v>
      </c>
      <c r="G40" s="162">
        <v>1.7</v>
      </c>
      <c r="H40" s="161">
        <v>2</v>
      </c>
      <c r="I40" s="161">
        <v>2</v>
      </c>
      <c r="J40" s="161">
        <v>2</v>
      </c>
      <c r="K40" s="161">
        <v>2</v>
      </c>
      <c r="L40" s="161">
        <v>2</v>
      </c>
      <c r="M40" s="160">
        <v>2</v>
      </c>
      <c r="N40" s="160">
        <v>2</v>
      </c>
      <c r="O40" s="160">
        <v>2</v>
      </c>
      <c r="P40" s="160">
        <v>2</v>
      </c>
      <c r="Q40" s="160">
        <v>2</v>
      </c>
      <c r="R40" s="183">
        <v>2</v>
      </c>
      <c r="S40" s="183">
        <v>2</v>
      </c>
      <c r="T40" s="183">
        <v>2</v>
      </c>
      <c r="U40" s="183">
        <v>2</v>
      </c>
      <c r="V40" s="183">
        <v>2</v>
      </c>
      <c r="W40" s="158">
        <v>1.9</v>
      </c>
    </row>
    <row r="41" spans="2:23" s="87" customFormat="1">
      <c r="B41" s="184">
        <v>58</v>
      </c>
      <c r="C41" s="163">
        <v>1.2</v>
      </c>
      <c r="D41" s="163">
        <v>1.2</v>
      </c>
      <c r="E41" s="163">
        <v>1.2</v>
      </c>
      <c r="F41" s="162">
        <v>1.7</v>
      </c>
      <c r="G41" s="162">
        <v>1.7</v>
      </c>
      <c r="H41" s="161">
        <v>2</v>
      </c>
      <c r="I41" s="161">
        <v>2</v>
      </c>
      <c r="J41" s="161">
        <v>2</v>
      </c>
      <c r="K41" s="161">
        <v>2</v>
      </c>
      <c r="L41" s="161">
        <v>2</v>
      </c>
      <c r="M41" s="160">
        <v>2</v>
      </c>
      <c r="N41" s="160">
        <v>2</v>
      </c>
      <c r="O41" s="160">
        <v>2</v>
      </c>
      <c r="P41" s="160">
        <v>2</v>
      </c>
      <c r="Q41" s="160">
        <v>2</v>
      </c>
      <c r="R41" s="183">
        <v>2</v>
      </c>
      <c r="S41" s="183">
        <v>2</v>
      </c>
      <c r="T41" s="183">
        <v>2</v>
      </c>
      <c r="U41" s="183">
        <v>2</v>
      </c>
      <c r="V41" s="183">
        <v>2</v>
      </c>
      <c r="W41" s="158">
        <v>1.9</v>
      </c>
    </row>
    <row r="42" spans="2:23" s="87" customFormat="1">
      <c r="B42" s="184">
        <v>59</v>
      </c>
      <c r="C42" s="163">
        <v>1.2</v>
      </c>
      <c r="D42" s="163">
        <v>1.2</v>
      </c>
      <c r="E42" s="163">
        <v>1.2</v>
      </c>
      <c r="F42" s="162">
        <v>1.7</v>
      </c>
      <c r="G42" s="162">
        <v>1.7</v>
      </c>
      <c r="H42" s="161">
        <v>2</v>
      </c>
      <c r="I42" s="161">
        <v>2</v>
      </c>
      <c r="J42" s="161">
        <v>2</v>
      </c>
      <c r="K42" s="161">
        <v>2</v>
      </c>
      <c r="L42" s="161">
        <v>2</v>
      </c>
      <c r="M42" s="160">
        <v>2</v>
      </c>
      <c r="N42" s="160">
        <v>2</v>
      </c>
      <c r="O42" s="160">
        <v>2</v>
      </c>
      <c r="P42" s="160">
        <v>2</v>
      </c>
      <c r="Q42" s="160">
        <v>2</v>
      </c>
      <c r="R42" s="183">
        <v>2</v>
      </c>
      <c r="S42" s="183">
        <v>2</v>
      </c>
      <c r="T42" s="183">
        <v>2</v>
      </c>
      <c r="U42" s="183">
        <v>2</v>
      </c>
      <c r="V42" s="183">
        <v>2</v>
      </c>
      <c r="W42" s="158">
        <v>1.9</v>
      </c>
    </row>
    <row r="43" spans="2:23" s="87" customFormat="1" ht="13.5" thickBot="1">
      <c r="B43" s="182">
        <v>60</v>
      </c>
      <c r="C43" s="177">
        <v>1.2</v>
      </c>
      <c r="D43" s="177">
        <v>1.2</v>
      </c>
      <c r="E43" s="177">
        <v>1.2</v>
      </c>
      <c r="F43" s="176">
        <v>1.7</v>
      </c>
      <c r="G43" s="176">
        <v>1.7</v>
      </c>
      <c r="H43" s="175">
        <v>2</v>
      </c>
      <c r="I43" s="175">
        <v>2</v>
      </c>
      <c r="J43" s="175">
        <v>2</v>
      </c>
      <c r="K43" s="175">
        <v>2</v>
      </c>
      <c r="L43" s="175">
        <v>2</v>
      </c>
      <c r="M43" s="174">
        <v>2</v>
      </c>
      <c r="N43" s="174">
        <v>2</v>
      </c>
      <c r="O43" s="174">
        <v>2</v>
      </c>
      <c r="P43" s="174">
        <v>2</v>
      </c>
      <c r="Q43" s="174">
        <v>2</v>
      </c>
      <c r="R43" s="181">
        <v>2</v>
      </c>
      <c r="S43" s="181">
        <v>2</v>
      </c>
      <c r="T43" s="181">
        <v>2</v>
      </c>
      <c r="U43" s="181">
        <v>2</v>
      </c>
      <c r="V43" s="181">
        <v>2</v>
      </c>
      <c r="W43" s="172">
        <v>1.9</v>
      </c>
    </row>
    <row r="44" spans="2:23" s="87" customFormat="1" ht="13.5" thickTop="1">
      <c r="B44" s="180">
        <v>61</v>
      </c>
      <c r="C44" s="170">
        <v>1.1000000000000001</v>
      </c>
      <c r="D44" s="170">
        <v>1.1000000000000001</v>
      </c>
      <c r="E44" s="170">
        <v>1.1000000000000001</v>
      </c>
      <c r="F44" s="169">
        <v>1.5</v>
      </c>
      <c r="G44" s="169">
        <v>1.5</v>
      </c>
      <c r="H44" s="168">
        <v>1.7</v>
      </c>
      <c r="I44" s="168">
        <v>1.7</v>
      </c>
      <c r="J44" s="168">
        <v>1.7</v>
      </c>
      <c r="K44" s="168">
        <v>1.7</v>
      </c>
      <c r="L44" s="168">
        <v>1.7</v>
      </c>
      <c r="M44" s="167">
        <v>1.7</v>
      </c>
      <c r="N44" s="167">
        <v>1.7</v>
      </c>
      <c r="O44" s="167">
        <v>1.7</v>
      </c>
      <c r="P44" s="167">
        <v>1.7</v>
      </c>
      <c r="Q44" s="167">
        <v>1.7</v>
      </c>
      <c r="R44" s="166">
        <v>1.7</v>
      </c>
      <c r="S44" s="166">
        <v>1.7</v>
      </c>
      <c r="T44" s="166">
        <v>1.7</v>
      </c>
      <c r="U44" s="166">
        <v>1.7</v>
      </c>
      <c r="V44" s="166">
        <v>1.7</v>
      </c>
      <c r="W44" s="165">
        <v>1.7</v>
      </c>
    </row>
    <row r="45" spans="2:23" s="87" customFormat="1">
      <c r="B45" s="179">
        <v>62</v>
      </c>
      <c r="C45" s="163">
        <v>1.1000000000000001</v>
      </c>
      <c r="D45" s="163">
        <v>1.1000000000000001</v>
      </c>
      <c r="E45" s="163">
        <v>1.1000000000000001</v>
      </c>
      <c r="F45" s="162">
        <v>1.5</v>
      </c>
      <c r="G45" s="162">
        <v>1.5</v>
      </c>
      <c r="H45" s="161">
        <v>1.7</v>
      </c>
      <c r="I45" s="161">
        <v>1.7</v>
      </c>
      <c r="J45" s="161">
        <v>1.7</v>
      </c>
      <c r="K45" s="161">
        <v>1.7</v>
      </c>
      <c r="L45" s="161">
        <v>1.7</v>
      </c>
      <c r="M45" s="160">
        <v>1.7</v>
      </c>
      <c r="N45" s="160">
        <v>1.7</v>
      </c>
      <c r="O45" s="160">
        <v>1.7</v>
      </c>
      <c r="P45" s="160">
        <v>1.7</v>
      </c>
      <c r="Q45" s="160">
        <v>1.7</v>
      </c>
      <c r="R45" s="159">
        <v>1.7</v>
      </c>
      <c r="S45" s="159">
        <v>1.7</v>
      </c>
      <c r="T45" s="159">
        <v>1.7</v>
      </c>
      <c r="U45" s="159">
        <v>1.7</v>
      </c>
      <c r="V45" s="159">
        <v>1.7</v>
      </c>
      <c r="W45" s="158">
        <v>1.7</v>
      </c>
    </row>
    <row r="46" spans="2:23" s="87" customFormat="1">
      <c r="B46" s="179">
        <v>63</v>
      </c>
      <c r="C46" s="163">
        <v>1.1000000000000001</v>
      </c>
      <c r="D46" s="163">
        <v>1.1000000000000001</v>
      </c>
      <c r="E46" s="163">
        <v>1.1000000000000001</v>
      </c>
      <c r="F46" s="162">
        <v>1.5</v>
      </c>
      <c r="G46" s="162">
        <v>1.5</v>
      </c>
      <c r="H46" s="161">
        <v>1.7</v>
      </c>
      <c r="I46" s="161">
        <v>1.7</v>
      </c>
      <c r="J46" s="161">
        <v>1.7</v>
      </c>
      <c r="K46" s="161">
        <v>1.7</v>
      </c>
      <c r="L46" s="161">
        <v>1.7</v>
      </c>
      <c r="M46" s="160">
        <v>1.7</v>
      </c>
      <c r="N46" s="160">
        <v>1.7</v>
      </c>
      <c r="O46" s="160">
        <v>1.7</v>
      </c>
      <c r="P46" s="160">
        <v>1.7</v>
      </c>
      <c r="Q46" s="160">
        <v>1.7</v>
      </c>
      <c r="R46" s="159">
        <v>1.7</v>
      </c>
      <c r="S46" s="159">
        <v>1.7</v>
      </c>
      <c r="T46" s="159">
        <v>1.7</v>
      </c>
      <c r="U46" s="159">
        <v>1.7</v>
      </c>
      <c r="V46" s="159">
        <v>1.7</v>
      </c>
      <c r="W46" s="158">
        <v>1.7</v>
      </c>
    </row>
    <row r="47" spans="2:23" s="87" customFormat="1">
      <c r="B47" s="179">
        <v>64</v>
      </c>
      <c r="C47" s="163">
        <v>1.1000000000000001</v>
      </c>
      <c r="D47" s="163">
        <v>1.1000000000000001</v>
      </c>
      <c r="E47" s="163">
        <v>1.1000000000000001</v>
      </c>
      <c r="F47" s="162">
        <v>1.5</v>
      </c>
      <c r="G47" s="162">
        <v>1.5</v>
      </c>
      <c r="H47" s="161">
        <v>1.7</v>
      </c>
      <c r="I47" s="161">
        <v>1.7</v>
      </c>
      <c r="J47" s="161">
        <v>1.7</v>
      </c>
      <c r="K47" s="161">
        <v>1.7</v>
      </c>
      <c r="L47" s="161">
        <v>1.7</v>
      </c>
      <c r="M47" s="160">
        <v>1.7</v>
      </c>
      <c r="N47" s="160">
        <v>1.7</v>
      </c>
      <c r="O47" s="160">
        <v>1.7</v>
      </c>
      <c r="P47" s="160">
        <v>1.7</v>
      </c>
      <c r="Q47" s="160">
        <v>1.7</v>
      </c>
      <c r="R47" s="159">
        <v>1.7</v>
      </c>
      <c r="S47" s="159">
        <v>1.7</v>
      </c>
      <c r="T47" s="159">
        <v>1.7</v>
      </c>
      <c r="U47" s="159">
        <v>1.7</v>
      </c>
      <c r="V47" s="159">
        <v>1.7</v>
      </c>
      <c r="W47" s="158">
        <v>1.7</v>
      </c>
    </row>
    <row r="48" spans="2:23" s="87" customFormat="1" ht="13.5" thickBot="1">
      <c r="B48" s="178">
        <v>65</v>
      </c>
      <c r="C48" s="177">
        <v>1.1000000000000001</v>
      </c>
      <c r="D48" s="177">
        <v>1.1000000000000001</v>
      </c>
      <c r="E48" s="177">
        <v>1.1000000000000001</v>
      </c>
      <c r="F48" s="176">
        <v>1.5</v>
      </c>
      <c r="G48" s="176">
        <v>1.5</v>
      </c>
      <c r="H48" s="175">
        <v>1.7</v>
      </c>
      <c r="I48" s="175">
        <v>1.7</v>
      </c>
      <c r="J48" s="175">
        <v>1.7</v>
      </c>
      <c r="K48" s="175">
        <v>1.7</v>
      </c>
      <c r="L48" s="175">
        <v>1.7</v>
      </c>
      <c r="M48" s="174">
        <v>1.7</v>
      </c>
      <c r="N48" s="174">
        <v>1.7</v>
      </c>
      <c r="O48" s="174">
        <v>1.7</v>
      </c>
      <c r="P48" s="174">
        <v>1.7</v>
      </c>
      <c r="Q48" s="174">
        <v>1.7</v>
      </c>
      <c r="R48" s="173">
        <v>1.7</v>
      </c>
      <c r="S48" s="173">
        <v>1.7</v>
      </c>
      <c r="T48" s="173">
        <v>1.7</v>
      </c>
      <c r="U48" s="173">
        <v>1.7</v>
      </c>
      <c r="V48" s="173">
        <v>1.7</v>
      </c>
      <c r="W48" s="172">
        <v>1.7</v>
      </c>
    </row>
    <row r="49" spans="2:23" s="87" customFormat="1" ht="13.5" thickTop="1">
      <c r="B49" s="171">
        <v>66</v>
      </c>
      <c r="C49" s="170">
        <v>1.1000000000000001</v>
      </c>
      <c r="D49" s="170">
        <v>1.1000000000000001</v>
      </c>
      <c r="E49" s="170">
        <v>1.1000000000000001</v>
      </c>
      <c r="F49" s="169">
        <v>1.4</v>
      </c>
      <c r="G49" s="169">
        <v>1.4</v>
      </c>
      <c r="H49" s="168">
        <v>1.5</v>
      </c>
      <c r="I49" s="168">
        <v>1.5</v>
      </c>
      <c r="J49" s="168">
        <v>1.5</v>
      </c>
      <c r="K49" s="168">
        <v>1.5</v>
      </c>
      <c r="L49" s="168">
        <v>1.5</v>
      </c>
      <c r="M49" s="167">
        <v>1.5</v>
      </c>
      <c r="N49" s="167">
        <v>1.5</v>
      </c>
      <c r="O49" s="167">
        <v>1.5</v>
      </c>
      <c r="P49" s="167">
        <v>1.5</v>
      </c>
      <c r="Q49" s="167">
        <v>1.5</v>
      </c>
      <c r="R49" s="166">
        <v>1.5</v>
      </c>
      <c r="S49" s="166">
        <v>1.5</v>
      </c>
      <c r="T49" s="166">
        <v>1.5</v>
      </c>
      <c r="U49" s="166">
        <v>1.5</v>
      </c>
      <c r="V49" s="166">
        <v>1.5</v>
      </c>
      <c r="W49" s="165">
        <v>1.5</v>
      </c>
    </row>
    <row r="50" spans="2:23" s="87" customFormat="1">
      <c r="B50" s="164">
        <v>67</v>
      </c>
      <c r="C50" s="163">
        <v>1.1000000000000001</v>
      </c>
      <c r="D50" s="163">
        <v>1.1000000000000001</v>
      </c>
      <c r="E50" s="163">
        <v>1.1000000000000001</v>
      </c>
      <c r="F50" s="162">
        <v>1.4</v>
      </c>
      <c r="G50" s="162">
        <v>1.4</v>
      </c>
      <c r="H50" s="161">
        <v>1.5</v>
      </c>
      <c r="I50" s="161">
        <v>1.5</v>
      </c>
      <c r="J50" s="161">
        <v>1.5</v>
      </c>
      <c r="K50" s="161">
        <v>1.5</v>
      </c>
      <c r="L50" s="161">
        <v>1.5</v>
      </c>
      <c r="M50" s="160">
        <v>1.5</v>
      </c>
      <c r="N50" s="160">
        <v>1.5</v>
      </c>
      <c r="O50" s="160">
        <v>1.5</v>
      </c>
      <c r="P50" s="160">
        <v>1.5</v>
      </c>
      <c r="Q50" s="160">
        <v>1.5</v>
      </c>
      <c r="R50" s="159">
        <v>1.5</v>
      </c>
      <c r="S50" s="159">
        <v>1.5</v>
      </c>
      <c r="T50" s="159">
        <v>1.5</v>
      </c>
      <c r="U50" s="159">
        <v>1.5</v>
      </c>
      <c r="V50" s="159">
        <v>1.5</v>
      </c>
      <c r="W50" s="158">
        <v>1.5</v>
      </c>
    </row>
    <row r="51" spans="2:23" s="87" customFormat="1">
      <c r="B51" s="164">
        <v>68</v>
      </c>
      <c r="C51" s="163">
        <v>1.1000000000000001</v>
      </c>
      <c r="D51" s="163">
        <v>1.1000000000000001</v>
      </c>
      <c r="E51" s="163">
        <v>1.1000000000000001</v>
      </c>
      <c r="F51" s="162">
        <v>1.4</v>
      </c>
      <c r="G51" s="162">
        <v>1.4</v>
      </c>
      <c r="H51" s="161">
        <v>1.5</v>
      </c>
      <c r="I51" s="161">
        <v>1.5</v>
      </c>
      <c r="J51" s="161">
        <v>1.5</v>
      </c>
      <c r="K51" s="161">
        <v>1.5</v>
      </c>
      <c r="L51" s="161">
        <v>1.5</v>
      </c>
      <c r="M51" s="160">
        <v>1.5</v>
      </c>
      <c r="N51" s="160">
        <v>1.5</v>
      </c>
      <c r="O51" s="160">
        <v>1.5</v>
      </c>
      <c r="P51" s="160">
        <v>1.5</v>
      </c>
      <c r="Q51" s="160">
        <v>1.5</v>
      </c>
      <c r="R51" s="159">
        <v>1.5</v>
      </c>
      <c r="S51" s="159">
        <v>1.5</v>
      </c>
      <c r="T51" s="159">
        <v>1.5</v>
      </c>
      <c r="U51" s="159">
        <v>1.5</v>
      </c>
      <c r="V51" s="159">
        <v>1.5</v>
      </c>
      <c r="W51" s="158">
        <v>1.5</v>
      </c>
    </row>
    <row r="52" spans="2:23" s="87" customFormat="1">
      <c r="B52" s="164">
        <v>69</v>
      </c>
      <c r="C52" s="163">
        <v>1.1000000000000001</v>
      </c>
      <c r="D52" s="163">
        <v>1.1000000000000001</v>
      </c>
      <c r="E52" s="163">
        <v>1.1000000000000001</v>
      </c>
      <c r="F52" s="162">
        <v>1.4</v>
      </c>
      <c r="G52" s="162">
        <v>1.4</v>
      </c>
      <c r="H52" s="161">
        <v>1.5</v>
      </c>
      <c r="I52" s="161">
        <v>1.5</v>
      </c>
      <c r="J52" s="161">
        <v>1.5</v>
      </c>
      <c r="K52" s="161">
        <v>1.5</v>
      </c>
      <c r="L52" s="161">
        <v>1.5</v>
      </c>
      <c r="M52" s="160">
        <v>1.5</v>
      </c>
      <c r="N52" s="160">
        <v>1.5</v>
      </c>
      <c r="O52" s="160">
        <v>1.5</v>
      </c>
      <c r="P52" s="160">
        <v>1.5</v>
      </c>
      <c r="Q52" s="160">
        <v>1.5</v>
      </c>
      <c r="R52" s="159">
        <v>1.5</v>
      </c>
      <c r="S52" s="159">
        <v>1.5</v>
      </c>
      <c r="T52" s="159">
        <v>1.5</v>
      </c>
      <c r="U52" s="159">
        <v>1.5</v>
      </c>
      <c r="V52" s="159">
        <v>1.5</v>
      </c>
      <c r="W52" s="158">
        <v>1.5</v>
      </c>
    </row>
    <row r="53" spans="2:23" s="87" customFormat="1">
      <c r="B53" s="164">
        <v>70</v>
      </c>
      <c r="C53" s="163">
        <v>1.1000000000000001</v>
      </c>
      <c r="D53" s="163">
        <v>1.1000000000000001</v>
      </c>
      <c r="E53" s="163">
        <v>1.1000000000000001</v>
      </c>
      <c r="F53" s="162">
        <v>1.4</v>
      </c>
      <c r="G53" s="162">
        <v>1.4</v>
      </c>
      <c r="H53" s="161">
        <v>1.5</v>
      </c>
      <c r="I53" s="161">
        <v>1.5</v>
      </c>
      <c r="J53" s="161">
        <v>1.5</v>
      </c>
      <c r="K53" s="161">
        <v>1.5</v>
      </c>
      <c r="L53" s="161">
        <v>1.5</v>
      </c>
      <c r="M53" s="160">
        <v>1.5</v>
      </c>
      <c r="N53" s="160">
        <v>1.5</v>
      </c>
      <c r="O53" s="160">
        <v>1.5</v>
      </c>
      <c r="P53" s="160">
        <v>1.5</v>
      </c>
      <c r="Q53" s="160">
        <v>1.5</v>
      </c>
      <c r="R53" s="159">
        <v>1.5</v>
      </c>
      <c r="S53" s="159">
        <v>1.5</v>
      </c>
      <c r="T53" s="159">
        <v>1.5</v>
      </c>
      <c r="U53" s="159">
        <v>1.5</v>
      </c>
      <c r="V53" s="159">
        <v>1.5</v>
      </c>
      <c r="W53" s="158">
        <v>1.5</v>
      </c>
    </row>
    <row r="54" spans="2:23" s="87" customFormat="1">
      <c r="B54" s="164">
        <v>71</v>
      </c>
      <c r="C54" s="163">
        <v>1.1000000000000001</v>
      </c>
      <c r="D54" s="163">
        <v>1.1000000000000001</v>
      </c>
      <c r="E54" s="163">
        <v>1.1000000000000001</v>
      </c>
      <c r="F54" s="162">
        <v>1.4</v>
      </c>
      <c r="G54" s="162">
        <v>1.4</v>
      </c>
      <c r="H54" s="161">
        <v>1.5</v>
      </c>
      <c r="I54" s="161">
        <v>1.5</v>
      </c>
      <c r="J54" s="161">
        <v>1.5</v>
      </c>
      <c r="K54" s="161">
        <v>1.5</v>
      </c>
      <c r="L54" s="161">
        <v>1.5</v>
      </c>
      <c r="M54" s="160">
        <v>1.5</v>
      </c>
      <c r="N54" s="160">
        <v>1.5</v>
      </c>
      <c r="O54" s="160">
        <v>1.5</v>
      </c>
      <c r="P54" s="160">
        <v>1.5</v>
      </c>
      <c r="Q54" s="160">
        <v>1.5</v>
      </c>
      <c r="R54" s="159">
        <v>1.5</v>
      </c>
      <c r="S54" s="159">
        <v>1.5</v>
      </c>
      <c r="T54" s="159">
        <v>1.5</v>
      </c>
      <c r="U54" s="159">
        <v>1.5</v>
      </c>
      <c r="V54" s="159">
        <v>1.5</v>
      </c>
      <c r="W54" s="158">
        <v>1.5</v>
      </c>
    </row>
    <row r="55" spans="2:23" s="87" customFormat="1">
      <c r="B55" s="164">
        <v>72</v>
      </c>
      <c r="C55" s="163">
        <v>1.1000000000000001</v>
      </c>
      <c r="D55" s="163">
        <v>1.1000000000000001</v>
      </c>
      <c r="E55" s="163">
        <v>1.1000000000000001</v>
      </c>
      <c r="F55" s="162">
        <v>1.4</v>
      </c>
      <c r="G55" s="162">
        <v>1.4</v>
      </c>
      <c r="H55" s="161">
        <v>1.5</v>
      </c>
      <c r="I55" s="161">
        <v>1.5</v>
      </c>
      <c r="J55" s="161">
        <v>1.5</v>
      </c>
      <c r="K55" s="161">
        <v>1.5</v>
      </c>
      <c r="L55" s="161">
        <v>1.5</v>
      </c>
      <c r="M55" s="160">
        <v>1.5</v>
      </c>
      <c r="N55" s="160">
        <v>1.5</v>
      </c>
      <c r="O55" s="160">
        <v>1.5</v>
      </c>
      <c r="P55" s="160">
        <v>1.5</v>
      </c>
      <c r="Q55" s="160">
        <v>1.5</v>
      </c>
      <c r="R55" s="159">
        <v>1.5</v>
      </c>
      <c r="S55" s="159">
        <v>1.5</v>
      </c>
      <c r="T55" s="159">
        <v>1.5</v>
      </c>
      <c r="U55" s="159">
        <v>1.5</v>
      </c>
      <c r="V55" s="159">
        <v>1.5</v>
      </c>
      <c r="W55" s="158">
        <v>1.5</v>
      </c>
    </row>
    <row r="56" spans="2:23" s="87" customFormat="1">
      <c r="B56" s="164">
        <v>73</v>
      </c>
      <c r="C56" s="163">
        <v>1.1000000000000001</v>
      </c>
      <c r="D56" s="163">
        <v>1.1000000000000001</v>
      </c>
      <c r="E56" s="163">
        <v>1.1000000000000001</v>
      </c>
      <c r="F56" s="162">
        <v>1.4</v>
      </c>
      <c r="G56" s="162">
        <v>1.4</v>
      </c>
      <c r="H56" s="161">
        <v>1.5</v>
      </c>
      <c r="I56" s="161">
        <v>1.5</v>
      </c>
      <c r="J56" s="161">
        <v>1.5</v>
      </c>
      <c r="K56" s="161">
        <v>1.5</v>
      </c>
      <c r="L56" s="161">
        <v>1.5</v>
      </c>
      <c r="M56" s="160">
        <v>1.5</v>
      </c>
      <c r="N56" s="160">
        <v>1.5</v>
      </c>
      <c r="O56" s="160">
        <v>1.5</v>
      </c>
      <c r="P56" s="160">
        <v>1.5</v>
      </c>
      <c r="Q56" s="160">
        <v>1.5</v>
      </c>
      <c r="R56" s="159">
        <v>1.5</v>
      </c>
      <c r="S56" s="159">
        <v>1.5</v>
      </c>
      <c r="T56" s="159">
        <v>1.5</v>
      </c>
      <c r="U56" s="159">
        <v>1.5</v>
      </c>
      <c r="V56" s="159">
        <v>1.5</v>
      </c>
      <c r="W56" s="158">
        <v>1.5</v>
      </c>
    </row>
    <row r="57" spans="2:23" s="87" customFormat="1">
      <c r="B57" s="164">
        <v>74</v>
      </c>
      <c r="C57" s="163">
        <v>1.1000000000000001</v>
      </c>
      <c r="D57" s="163">
        <v>1.1000000000000001</v>
      </c>
      <c r="E57" s="163">
        <v>1.1000000000000001</v>
      </c>
      <c r="F57" s="162">
        <v>1.4</v>
      </c>
      <c r="G57" s="162">
        <v>1.4</v>
      </c>
      <c r="H57" s="161">
        <v>1.5</v>
      </c>
      <c r="I57" s="161">
        <v>1.5</v>
      </c>
      <c r="J57" s="161">
        <v>1.5</v>
      </c>
      <c r="K57" s="161">
        <v>1.5</v>
      </c>
      <c r="L57" s="161">
        <v>1.5</v>
      </c>
      <c r="M57" s="160">
        <v>1.5</v>
      </c>
      <c r="N57" s="160">
        <v>1.5</v>
      </c>
      <c r="O57" s="160">
        <v>1.5</v>
      </c>
      <c r="P57" s="160">
        <v>1.5</v>
      </c>
      <c r="Q57" s="160">
        <v>1.5</v>
      </c>
      <c r="R57" s="159">
        <v>1.5</v>
      </c>
      <c r="S57" s="159">
        <v>1.5</v>
      </c>
      <c r="T57" s="159">
        <v>1.5</v>
      </c>
      <c r="U57" s="159">
        <v>1.5</v>
      </c>
      <c r="V57" s="159">
        <v>1.5</v>
      </c>
      <c r="W57" s="158">
        <v>1.5</v>
      </c>
    </row>
    <row r="58" spans="2:23" s="87" customFormat="1">
      <c r="B58" s="164">
        <v>75</v>
      </c>
      <c r="C58" s="163">
        <v>1.1000000000000001</v>
      </c>
      <c r="D58" s="163">
        <v>1.1000000000000001</v>
      </c>
      <c r="E58" s="163">
        <v>1.1000000000000001</v>
      </c>
      <c r="F58" s="162">
        <v>1.4</v>
      </c>
      <c r="G58" s="162">
        <v>1.4</v>
      </c>
      <c r="H58" s="161">
        <v>1.5</v>
      </c>
      <c r="I58" s="161">
        <v>1.5</v>
      </c>
      <c r="J58" s="161">
        <v>1.5</v>
      </c>
      <c r="K58" s="161">
        <v>1.5</v>
      </c>
      <c r="L58" s="161">
        <v>1.5</v>
      </c>
      <c r="M58" s="160">
        <v>1.5</v>
      </c>
      <c r="N58" s="160">
        <v>1.5</v>
      </c>
      <c r="O58" s="160">
        <v>1.5</v>
      </c>
      <c r="P58" s="160">
        <v>1.5</v>
      </c>
      <c r="Q58" s="160">
        <v>1.5</v>
      </c>
      <c r="R58" s="159">
        <v>1.5</v>
      </c>
      <c r="S58" s="159">
        <v>1.5</v>
      </c>
      <c r="T58" s="159">
        <v>1.5</v>
      </c>
      <c r="U58" s="159">
        <v>1.5</v>
      </c>
      <c r="V58" s="159">
        <v>1.5</v>
      </c>
      <c r="W58" s="158">
        <v>1.5</v>
      </c>
    </row>
    <row r="59" spans="2:23" s="87" customFormat="1">
      <c r="B59" s="164">
        <v>76</v>
      </c>
      <c r="C59" s="163">
        <v>1.1000000000000001</v>
      </c>
      <c r="D59" s="163">
        <v>1.1000000000000001</v>
      </c>
      <c r="E59" s="163">
        <v>1.1000000000000001</v>
      </c>
      <c r="F59" s="162">
        <v>1.4</v>
      </c>
      <c r="G59" s="162">
        <v>1.4</v>
      </c>
      <c r="H59" s="161">
        <v>1.5</v>
      </c>
      <c r="I59" s="161">
        <v>1.5</v>
      </c>
      <c r="J59" s="161">
        <v>1.5</v>
      </c>
      <c r="K59" s="161">
        <v>1.5</v>
      </c>
      <c r="L59" s="161">
        <v>1.5</v>
      </c>
      <c r="M59" s="160">
        <v>1.5</v>
      </c>
      <c r="N59" s="160">
        <v>1.5</v>
      </c>
      <c r="O59" s="160">
        <v>1.5</v>
      </c>
      <c r="P59" s="160">
        <v>1.5</v>
      </c>
      <c r="Q59" s="160">
        <v>1.5</v>
      </c>
      <c r="R59" s="159">
        <v>1.5</v>
      </c>
      <c r="S59" s="159">
        <v>1.5</v>
      </c>
      <c r="T59" s="159">
        <v>1.5</v>
      </c>
      <c r="U59" s="159">
        <v>1.5</v>
      </c>
      <c r="V59" s="159">
        <v>1.5</v>
      </c>
      <c r="W59" s="158">
        <v>1.5</v>
      </c>
    </row>
    <row r="60" spans="2:23" s="87" customFormat="1">
      <c r="B60" s="164">
        <v>77</v>
      </c>
      <c r="C60" s="163">
        <v>1.1000000000000001</v>
      </c>
      <c r="D60" s="163">
        <v>1.1000000000000001</v>
      </c>
      <c r="E60" s="163">
        <v>1.1000000000000001</v>
      </c>
      <c r="F60" s="162">
        <v>1.4</v>
      </c>
      <c r="G60" s="162">
        <v>1.4</v>
      </c>
      <c r="H60" s="161">
        <v>1.5</v>
      </c>
      <c r="I60" s="161">
        <v>1.5</v>
      </c>
      <c r="J60" s="161">
        <v>1.5</v>
      </c>
      <c r="K60" s="161">
        <v>1.5</v>
      </c>
      <c r="L60" s="161">
        <v>1.5</v>
      </c>
      <c r="M60" s="160">
        <v>1.5</v>
      </c>
      <c r="N60" s="160">
        <v>1.5</v>
      </c>
      <c r="O60" s="160">
        <v>1.5</v>
      </c>
      <c r="P60" s="160">
        <v>1.5</v>
      </c>
      <c r="Q60" s="160">
        <v>1.5</v>
      </c>
      <c r="R60" s="159">
        <v>1.5</v>
      </c>
      <c r="S60" s="159">
        <v>1.5</v>
      </c>
      <c r="T60" s="159">
        <v>1.5</v>
      </c>
      <c r="U60" s="159">
        <v>1.5</v>
      </c>
      <c r="V60" s="159">
        <v>1.5</v>
      </c>
      <c r="W60" s="158">
        <v>1.5</v>
      </c>
    </row>
    <row r="61" spans="2:23" s="87" customFormat="1">
      <c r="B61" s="164">
        <v>78</v>
      </c>
      <c r="C61" s="163">
        <v>1.1000000000000001</v>
      </c>
      <c r="D61" s="163">
        <v>1.1000000000000001</v>
      </c>
      <c r="E61" s="163">
        <v>1.1000000000000001</v>
      </c>
      <c r="F61" s="162">
        <v>1.4</v>
      </c>
      <c r="G61" s="162">
        <v>1.4</v>
      </c>
      <c r="H61" s="161">
        <v>1.5</v>
      </c>
      <c r="I61" s="161">
        <v>1.5</v>
      </c>
      <c r="J61" s="161">
        <v>1.5</v>
      </c>
      <c r="K61" s="161">
        <v>1.5</v>
      </c>
      <c r="L61" s="161">
        <v>1.5</v>
      </c>
      <c r="M61" s="160">
        <v>1.5</v>
      </c>
      <c r="N61" s="160">
        <v>1.5</v>
      </c>
      <c r="O61" s="160">
        <v>1.5</v>
      </c>
      <c r="P61" s="160">
        <v>1.5</v>
      </c>
      <c r="Q61" s="160">
        <v>1.5</v>
      </c>
      <c r="R61" s="159">
        <v>1.5</v>
      </c>
      <c r="S61" s="159">
        <v>1.5</v>
      </c>
      <c r="T61" s="159">
        <v>1.5</v>
      </c>
      <c r="U61" s="159">
        <v>1.5</v>
      </c>
      <c r="V61" s="159">
        <v>1.5</v>
      </c>
      <c r="W61" s="158">
        <v>1.5</v>
      </c>
    </row>
    <row r="62" spans="2:23" s="87" customFormat="1">
      <c r="B62" s="164">
        <v>79</v>
      </c>
      <c r="C62" s="163">
        <v>1.1000000000000001</v>
      </c>
      <c r="D62" s="163">
        <v>1.1000000000000001</v>
      </c>
      <c r="E62" s="163">
        <v>1.1000000000000001</v>
      </c>
      <c r="F62" s="162">
        <v>1.4</v>
      </c>
      <c r="G62" s="162">
        <v>1.4</v>
      </c>
      <c r="H62" s="161">
        <v>1.5</v>
      </c>
      <c r="I62" s="161">
        <v>1.5</v>
      </c>
      <c r="J62" s="161">
        <v>1.5</v>
      </c>
      <c r="K62" s="161">
        <v>1.5</v>
      </c>
      <c r="L62" s="161">
        <v>1.5</v>
      </c>
      <c r="M62" s="160">
        <v>1.5</v>
      </c>
      <c r="N62" s="160">
        <v>1.5</v>
      </c>
      <c r="O62" s="160">
        <v>1.5</v>
      </c>
      <c r="P62" s="160">
        <v>1.5</v>
      </c>
      <c r="Q62" s="160">
        <v>1.5</v>
      </c>
      <c r="R62" s="159">
        <v>1.5</v>
      </c>
      <c r="S62" s="159">
        <v>1.5</v>
      </c>
      <c r="T62" s="159">
        <v>1.5</v>
      </c>
      <c r="U62" s="159">
        <v>1.5</v>
      </c>
      <c r="V62" s="159">
        <v>1.5</v>
      </c>
      <c r="W62" s="158">
        <v>1.5</v>
      </c>
    </row>
    <row r="63" spans="2:23" s="87" customFormat="1">
      <c r="B63" s="157">
        <v>80</v>
      </c>
      <c r="C63" s="156">
        <v>1.1000000000000001</v>
      </c>
      <c r="D63" s="156">
        <v>1.1000000000000001</v>
      </c>
      <c r="E63" s="156">
        <v>1.1000000000000001</v>
      </c>
      <c r="F63" s="155">
        <v>1.4</v>
      </c>
      <c r="G63" s="155">
        <v>1.4</v>
      </c>
      <c r="H63" s="154">
        <v>1.5</v>
      </c>
      <c r="I63" s="154">
        <v>1.5</v>
      </c>
      <c r="J63" s="154">
        <v>1.5</v>
      </c>
      <c r="K63" s="154">
        <v>1.5</v>
      </c>
      <c r="L63" s="154">
        <v>1.5</v>
      </c>
      <c r="M63" s="153">
        <v>1.5</v>
      </c>
      <c r="N63" s="153">
        <v>1.5</v>
      </c>
      <c r="O63" s="153">
        <v>1.5</v>
      </c>
      <c r="P63" s="153">
        <v>1.5</v>
      </c>
      <c r="Q63" s="153">
        <v>1.5</v>
      </c>
      <c r="R63" s="152">
        <v>1.5</v>
      </c>
      <c r="S63" s="152">
        <v>1.5</v>
      </c>
      <c r="T63" s="152">
        <v>1.5</v>
      </c>
      <c r="U63" s="152">
        <v>1.5</v>
      </c>
      <c r="V63" s="152">
        <v>1.5</v>
      </c>
      <c r="W63" s="151">
        <v>1.5</v>
      </c>
    </row>
  </sheetData>
  <dataValidations count="1">
    <dataValidation type="list" allowBlank="1" showInputMessage="1" showErrorMessage="1" sqref="C5" xr:uid="{00000000-0002-0000-0F00-000000000000}">
      <formula1>"3,4,5"</formula1>
    </dataValidation>
  </dataValidations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54</vt:i4>
      </vt:variant>
    </vt:vector>
  </HeadingPairs>
  <TitlesOfParts>
    <vt:vector size="58" baseType="lpstr">
      <vt:lpstr>Инструкция</vt:lpstr>
      <vt:lpstr>Подбор суммы</vt:lpstr>
      <vt:lpstr>Расчет программы</vt:lpstr>
      <vt:lpstr>Предложение для клиента</vt:lpstr>
      <vt:lpstr>gender</vt:lpstr>
      <vt:lpstr>ii</vt:lpstr>
      <vt:lpstr>kk</vt:lpstr>
      <vt:lpstr>nn</vt:lpstr>
      <vt:lpstr>NTr_Acc_D</vt:lpstr>
      <vt:lpstr>NTr_Acc_DTrf</vt:lpstr>
      <vt:lpstr>NTr_Acc_Trauma</vt:lpstr>
      <vt:lpstr>sber_ann_f</vt:lpstr>
      <vt:lpstr>sber_ann_m</vt:lpstr>
      <vt:lpstr>tbl_Comm</vt:lpstr>
      <vt:lpstr>tbl_D_Dis_f</vt:lpstr>
      <vt:lpstr>tbl_D_Dis_m</vt:lpstr>
      <vt:lpstr>tbl_D_f</vt:lpstr>
      <vt:lpstr>tbl_D_m</vt:lpstr>
      <vt:lpstr>tbl_Dis_f</vt:lpstr>
      <vt:lpstr>tbl_Dis_m</vt:lpstr>
      <vt:lpstr>tbl_freq_k</vt:lpstr>
      <vt:lpstr>xx</vt:lpstr>
      <vt:lpstr>КЛ_ГОРОД</vt:lpstr>
      <vt:lpstr>КЛ_ДАТА</vt:lpstr>
      <vt:lpstr>КЛ_ДР_З</vt:lpstr>
      <vt:lpstr>КЛ_КЗ</vt:lpstr>
      <vt:lpstr>КЛ_ПОЛ</vt:lpstr>
      <vt:lpstr>КЛ_СРОК</vt:lpstr>
      <vt:lpstr>КЛ_СТРОКИ_СТРАХОВАТЕЛЬ</vt:lpstr>
      <vt:lpstr>КЛ_СУММА</vt:lpstr>
      <vt:lpstr>КЛ_ФИО</vt:lpstr>
      <vt:lpstr>КЛ_ФЛАГ_ДОП_ЛС</vt:lpstr>
      <vt:lpstr>КЛ_ФЛАГ_СТРАХОВАТЕЛЬ</vt:lpstr>
      <vt:lpstr>Н_Было</vt:lpstr>
      <vt:lpstr>Н_Версия</vt:lpstr>
      <vt:lpstr>Н_ДАННЫЕ_ИЗМЕНИЛИСЬ</vt:lpstr>
      <vt:lpstr>Н_Дата</vt:lpstr>
      <vt:lpstr>Н_ДатаОкончания</vt:lpstr>
      <vt:lpstr>Н_Ошибок</vt:lpstr>
      <vt:lpstr>Н_СТАЛО</vt:lpstr>
      <vt:lpstr>Н_Статус</vt:lpstr>
      <vt:lpstr>Н_СТОП_ФАКТОРЫ</vt:lpstr>
      <vt:lpstr>П_ДОП</vt:lpstr>
      <vt:lpstr>П_ДОП_ЛС_ЗНАЧ</vt:lpstr>
      <vt:lpstr>П_ИНВ_ЛП</vt:lpstr>
      <vt:lpstr>П_ИНВ_ЛП_ЗНАЧ</vt:lpstr>
      <vt:lpstr>П_МЕД_ЧЕКАП</vt:lpstr>
      <vt:lpstr>П_МЕД_ЧЕКАП_ЗНАЧ</vt:lpstr>
      <vt:lpstr>П_ПАКЕТ_ЗАГОЛОВОК</vt:lpstr>
      <vt:lpstr>П_ПАКЕТ_КРИТИКА</vt:lpstr>
      <vt:lpstr>П_ПАКЕТ_КРИТИКА_ЗНАЧ</vt:lpstr>
      <vt:lpstr>П_ПАКЕТ_НС</vt:lpstr>
      <vt:lpstr>П_ПАКЕТ_НС_ЗНАЧ</vt:lpstr>
      <vt:lpstr>П_СРОК</vt:lpstr>
      <vt:lpstr>П_СУММА</vt:lpstr>
      <vt:lpstr>ПР_ДАТА_РАСЧЁТА</vt:lpstr>
      <vt:lpstr>Регионы_Город</vt:lpstr>
      <vt:lpstr>Регионы_ЛПУ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shapeless</cp:lastModifiedBy>
  <cp:lastPrinted>2023-11-27T15:00:03Z</cp:lastPrinted>
  <dcterms:created xsi:type="dcterms:W3CDTF">2019-12-16T16:23:49Z</dcterms:created>
  <dcterms:modified xsi:type="dcterms:W3CDTF">2025-06-05T10:10:13Z</dcterms:modified>
</cp:coreProperties>
</file>